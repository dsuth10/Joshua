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qedu-my.sharepoint.com/personal/dsuth10_eq_edu_au/Documents/2026/"/>
    </mc:Choice>
  </mc:AlternateContent>
  <xr:revisionPtr revIDLastSave="14" documentId="8_{FE64340F-CDD9-4651-8B32-950ADA9DCDCB}" xr6:coauthVersionLast="47" xr6:coauthVersionMax="47" xr10:uidLastSave="{8F1BFD9D-06C8-4D25-9238-1D8756BF3A50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I19" i="1"/>
</calcChain>
</file>

<file path=xl/sharedStrings.xml><?xml version="1.0" encoding="utf-8"?>
<sst xmlns="http://schemas.openxmlformats.org/spreadsheetml/2006/main" count="703" uniqueCount="222">
  <si>
    <t>Id</t>
  </si>
  <si>
    <t>Start time</t>
  </si>
  <si>
    <t>Completion time</t>
  </si>
  <si>
    <t>Email</t>
  </si>
  <si>
    <t>Total points</t>
  </si>
  <si>
    <t>Quiz feedback</t>
  </si>
  <si>
    <t>Grade posted time</t>
  </si>
  <si>
    <t>What is 237/100 expressed as a mixed number and a decimal?</t>
  </si>
  <si>
    <t>Points - What is 237/100 expressed as a mixed number and a decimal?</t>
  </si>
  <si>
    <t>Feedback - What is 237/100 expressed as a mixed number and a decimal?</t>
  </si>
  <si>
    <t>Which of the following represents 6 8/100 as a decimal?</t>
  </si>
  <si>
    <t>Points - Which of the following represents 6 8/100 as a decimal?</t>
  </si>
  <si>
    <t>Feedback - Which of the following represents 6 8/100 as a decimal?</t>
  </si>
  <si>
    <t>A hundred-square grid has 45 squares shaded. What percentage of the square grid is NOT shaded?</t>
  </si>
  <si>
    <t>Points - A hundred-square grid has 45 squares shaded. What percentage of the square grid is NOT shaded?</t>
  </si>
  <si>
    <t>Feedback - A hundred-square grid has 45 squares shaded. What percentage of the square grid is NOT shaded?</t>
  </si>
  <si>
    <t>Which fraction, decimal, and percentage set are all equivalent?</t>
  </si>
  <si>
    <t>Points - Which fraction, decimal, and percentage set are all equivalent?</t>
  </si>
  <si>
    <t>Feedback - Which fraction, decimal, and percentage set are all equivalent?</t>
  </si>
  <si>
    <t>What is 1.05 expressed as a mixed number in fraction form over 100?</t>
  </si>
  <si>
    <t>Points - What is 1.05 expressed as a mixed number in fraction form over 100?</t>
  </si>
  <si>
    <t>Feedback - What is 1.05 expressed as a mixed number in fraction form over 100?</t>
  </si>
  <si>
    <t>If a phone screen displays 64% battery charge, what decimal of the total battery charge remains?</t>
  </si>
  <si>
    <t>Points - If a phone screen displays 64% battery charge, what decimal of the total battery charge remains?</t>
  </si>
  <si>
    <t>Feedback - If a phone screen displays 64% battery charge, what decimal of the total battery charge remains?</t>
  </si>
  <si>
    <t>Which mathematical operation shows how to convert 43/100 into a decimal on a calculator?</t>
  </si>
  <si>
    <t>Points - Which mathematical operation shows how to convert 43/100 into a decimal on a calculator?</t>
  </si>
  <si>
    <t>Feedback - Which mathematical operation shows how to convert 43/100 into a decimal on a calculator?</t>
  </si>
  <si>
    <t>Which of the following is an improper fraction?</t>
  </si>
  <si>
    <t>Points - Which of the following is an improper fraction?</t>
  </si>
  <si>
    <t>Feedback - Which of the following is an improper fraction?</t>
  </si>
  <si>
    <t>Convert 3 2/5 into an improper fraction.</t>
  </si>
  <si>
    <t>Points - Convert 3 2/5 into an improper fraction.</t>
  </si>
  <si>
    <t>Feedback - Convert 3 2/5 into an improper fraction.</t>
  </si>
  <si>
    <t>Convert 14/3 into a mixed number.</t>
  </si>
  <si>
    <t>Points - Convert 14/3 into a mixed number.</t>
  </si>
  <si>
    <t>Feedback - Convert 14/3 into a mixed number.</t>
  </si>
  <si>
    <t>If pizzas are cut into quarters and you have 9 slices in total, how many whole pizzas and extra quarters do you have?</t>
  </si>
  <si>
    <t>Points - If pizzas are cut into quarters and you have 9 slices in total, how many whole pizzas and extra quarters do you have?</t>
  </si>
  <si>
    <t>Feedback - If pizzas are cut into quarters and you have 9 slices in total, how many whole pizzas and extra quarters do you have?</t>
  </si>
  <si>
    <t>A baking recipe requires 2 3/4 cups of flour. How many quarter-cups of flour is this in total?</t>
  </si>
  <si>
    <t>Points - A baking recipe requires 2 3/4 cups of flour. How many quarter-cups of flour is this in total?</t>
  </si>
  <si>
    <t>Feedback - A baking recipe requires 2 3/4 cups of flour. How many quarter-cups of flour is this in total?</t>
  </si>
  <si>
    <t>Which mixed number is equal to 22/4?</t>
  </si>
  <si>
    <t>Points - Which mixed number is equal to 22/4?</t>
  </si>
  <si>
    <t>Feedback - Which mixed number is equal to 22/4?</t>
  </si>
  <si>
    <t>A student says that 13/5 is equal to 2 3/5. Is this student correct or incorrect?</t>
  </si>
  <si>
    <t>Points - A student says that 13/5 is equal to 2 3/5. Is this student correct or incorrect?</t>
  </si>
  <si>
    <t>Feedback - A student says that 13/5 is equal to 2 3/5. Is this student correct or incorrect?</t>
  </si>
  <si>
    <t>Calculate 3/8 + 2/8.</t>
  </si>
  <si>
    <t>Points - Calculate 3/8 + 2/8.</t>
  </si>
  <si>
    <t>Feedback - Calculate 3/8 + 2/8.</t>
  </si>
  <si>
    <t>Calculate 7/10 - 4/10.</t>
  </si>
  <si>
    <t>Points - Calculate 7/10 - 4/10.</t>
  </si>
  <si>
    <t>Feedback - Calculate 7/10 - 4/10.</t>
  </si>
  <si>
    <t>What is the Golden Rule when adding or subtracting fractions with the same denominator?</t>
  </si>
  <si>
    <t>Points - What is the Golden Rule when adding or subtracting fractions with the same denominator?</t>
  </si>
  <si>
    <t>Feedback - What is the Golden Rule when adding or subtracting fractions with the same denominator?</t>
  </si>
  <si>
    <t>Which inequality comparison statement is TRUE?</t>
  </si>
  <si>
    <t>Points - Which inequality comparison statement is TRUE?</t>
  </si>
  <si>
    <t>Feedback - Which inequality comparison statement is TRUE?</t>
  </si>
  <si>
    <t>Sharon ate 3/12 of a chocolate block and Franco ate 5/12 of the same block. What fraction did they eat combined?</t>
  </si>
  <si>
    <t>Points - Sharon ate 3/12 of a chocolate block and Franco ate 5/12 of the same block. What fraction did they eat combined?</t>
  </si>
  <si>
    <t>Feedback - Sharon ate 3/12 of a chocolate block and Franco ate 5/12 of the same block. What fraction did they eat combined?</t>
  </si>
  <si>
    <t>Ron had 10/10 of a block of poster paper. He used 4/10 for a poster and 3/10 for a card. What fraction of the paper block remains?</t>
  </si>
  <si>
    <t>Points - Ron had 10/10 of a block of poster paper. He used 4/10 for a poster and 3/10 for a card. What fraction of the paper block remains?</t>
  </si>
  <si>
    <t>Feedback - Ron had 10/10 of a block of poster paper. He used 4/10 for a poster and 3/10 for a card. What fraction of the paper block remains?</t>
  </si>
  <si>
    <t>Evaluate the expression: 9/12 - 2/12 - 3/12.</t>
  </si>
  <si>
    <t>Points - Evaluate the expression: 9/12 - 2/12 - 3/12.</t>
  </si>
  <si>
    <t>Feedback - Evaluate the expression: 9/12 - 2/12 - 3/12.</t>
  </si>
  <si>
    <t>A rectangular strip is split into 3 vertical columns with 2 columns shaded (2/3). If a horizontal cut doubles the number of rows to 2, what fraction of the grid is now shaded?</t>
  </si>
  <si>
    <t>Points - A rectangular strip is split into 3 vertical columns with 2 columns shaded (2/3). If a horizontal cut doubles the number of rows to 2, what fraction of the grid is now shaded?</t>
  </si>
  <si>
    <t>Feedback - A rectangular strip is split into 3 vertical columns with 2 columns shaded (2/3). If a horizontal cut doubles the number of rows to 2, what fraction of the grid is now shaded?</t>
  </si>
  <si>
    <t>On aligned equal-length number lines, which fraction aligns directly below 1/3?</t>
  </si>
  <si>
    <t>Points - On aligned equal-length number lines, which fraction aligns directly below 1/3?</t>
  </si>
  <si>
    <t>Feedback - On aligned equal-length number lines, which fraction aligns directly below 1/3?</t>
  </si>
  <si>
    <t>According to the Multiplication Golden Rule, what multiplier must be used on both top and bottom to convert 3/5 into 9/15?</t>
  </si>
  <si>
    <t>Points - According to the Multiplication Golden Rule, what multiplier must be used on both top and bottom to convert 3/5 into 9/15?</t>
  </si>
  <si>
    <t>Feedback - According to the Multiplication Golden Rule, what multiplier must be used on both top and bottom to convert 3/5 into 9/15?</t>
  </si>
  <si>
    <t>Find the missing numerator in this equivalent fraction chain: 1/4 = 2/8 = ?/12 = 4/16.</t>
  </si>
  <si>
    <t>Points - Find the missing numerator in this equivalent fraction chain: 1/4 = 2/8 = ?/12 = 4/16.</t>
  </si>
  <si>
    <t>Feedback - Find the missing numerator in this equivalent fraction chain: 1/4 = 2/8 = ?/12 = 4/16.</t>
  </si>
  <si>
    <t>Which fraction is equivalent to 8/12 when simplified by dividing the numerator and denominator by 4?</t>
  </si>
  <si>
    <t>Points - Which fraction is equivalent to 8/12 when simplified by dividing the numerator and denominator by 4?</t>
  </si>
  <si>
    <t>Feedback - Which fraction is equivalent to 8/12 when simplified by dividing the numerator and denominator by 4?</t>
  </si>
  <si>
    <t>Sam claims that 1/3 is equivalent to 2/4 because he added 1 to both top and bottom. Why is Sam incorrect?</t>
  </si>
  <si>
    <t>Points - Sam claims that 1/3 is equivalent to 2/4 because he added 1 to both top and bottom. Why is Sam incorrect?</t>
  </si>
  <si>
    <t>Feedback - Sam claims that 1/3 is equivalent to 2/4 because he added 1 to both top and bottom. Why is Sam incorrect?</t>
  </si>
  <si>
    <t>Which list places the fractions in correct order from smallest to largest?</t>
  </si>
  <si>
    <t>Points - Which list places the fractions in correct order from smallest to largest?</t>
  </si>
  <si>
    <t>Feedback - Which list places the fractions in correct order from smallest to largest?</t>
  </si>
  <si>
    <t>Calculate 4 - 1/5.</t>
  </si>
  <si>
    <t>Points - Calculate 4 - 1/5.</t>
  </si>
  <si>
    <t>Feedback - Calculate 4 - 1/5.</t>
  </si>
  <si>
    <t>What is 1 7/10 + 3/10?</t>
  </si>
  <si>
    <t>Points - What is 1 7/10 + 3/10?</t>
  </si>
  <si>
    <t>Feedback - What is 1 7/10 + 3/10?</t>
  </si>
  <si>
    <t>Calculate 1/4 + 3/8 by first converting 1/4 into eighths.</t>
  </si>
  <si>
    <t>Points - Calculate 1/4 + 3/8 by first converting 1/4 into eighths.</t>
  </si>
  <si>
    <t>Feedback - Calculate 1/4 + 3/8 by first converting 1/4 into eighths.</t>
  </si>
  <si>
    <t>Calculate 5/8 - 1/4 by converting 1/4 into eighths.</t>
  </si>
  <si>
    <t>Points - Calculate 5/8 - 1/4 by converting 1/4 into eighths.</t>
  </si>
  <si>
    <t>Feedback - Calculate 5/8 - 1/4 by converting 1/4 into eighths.</t>
  </si>
  <si>
    <t>Calculate 3/5 + 3/10 by converting 3/5 into tenths.</t>
  </si>
  <si>
    <t>Points - Calculate 3/5 + 3/10 by converting 3/5 into tenths.</t>
  </si>
  <si>
    <t>Feedback - Calculate 3/5 + 3/10 by converting 3/5 into tenths.</t>
  </si>
  <si>
    <t>A container holds 2 litres of water. If children drink 3/4 of a litre during sports, how much water remains in the container?</t>
  </si>
  <si>
    <t>Points - A container holds 2 litres of water. If children drink 3/4 of a litre during sports, how much water remains in the container?</t>
  </si>
  <si>
    <t>Feedback - A container holds 2 litres of water. If children drink 3/4 of a litre during sports, how much water remains in the container?</t>
  </si>
  <si>
    <t>jfull212@eq.edu.au</t>
  </si>
  <si>
    <t>2 37/100 or 2.37</t>
  </si>
  <si>
    <t>6.8</t>
  </si>
  <si>
    <t>45%</t>
  </si>
  <si>
    <t>1/4 = 0.40 = 25%</t>
  </si>
  <si>
    <t>10 5/100</t>
  </si>
  <si>
    <t>64.0</t>
  </si>
  <si>
    <t>43 ÷ 100</t>
  </si>
  <si>
    <t>7/5</t>
  </si>
  <si>
    <t>17/5</t>
  </si>
  <si>
    <t>4 2/3</t>
  </si>
  <si>
    <t>2 whole pizzas and 1/4 pizza</t>
  </si>
  <si>
    <t>11 quarter-cups</t>
  </si>
  <si>
    <t>5 2/4</t>
  </si>
  <si>
    <t>Correct, because 13 divided by 5 is 2 with a remainder of 3</t>
  </si>
  <si>
    <t>5/8</t>
  </si>
  <si>
    <t>3/10</t>
  </si>
  <si>
    <t>Add or subtract both the top and bottom numbers</t>
  </si>
  <si>
    <t>7/10 - 2/10 &gt; 4/10</t>
  </si>
  <si>
    <t>8/12</t>
  </si>
  <si>
    <t>4/12</t>
  </si>
  <si>
    <t>4/6</t>
  </si>
  <si>
    <t>2/6</t>
  </si>
  <si>
    <t>Multiply by 3</t>
  </si>
  <si>
    <t>2</t>
  </si>
  <si>
    <t>2/3</t>
  </si>
  <si>
    <t>Sam should have subtracted 1 from top and bottom</t>
  </si>
  <si>
    <t>1/8, 3/8, 1/2, 3/4</t>
  </si>
  <si>
    <t>3 4/5</t>
  </si>
  <si>
    <t>4/8</t>
  </si>
  <si>
    <t>3/8</t>
  </si>
  <si>
    <t>6/10</t>
  </si>
  <si>
    <t>1 1/4 litres</t>
  </si>
  <si>
    <t>wnich33@eq.edu.au</t>
  </si>
  <si>
    <t>6.08</t>
  </si>
  <si>
    <t>3/10 = 0.03 = 30%</t>
  </si>
  <si>
    <t>1 5/100</t>
  </si>
  <si>
    <t>0.64</t>
  </si>
  <si>
    <t>43 + 100</t>
  </si>
  <si>
    <t>3/4</t>
  </si>
  <si>
    <t>8 quarter-cups</t>
  </si>
  <si>
    <t>22 1/4</t>
  </si>
  <si>
    <t>1/5 + 2/5 &lt; 3/5</t>
  </si>
  <si>
    <t>7/10</t>
  </si>
  <si>
    <t>3/6</t>
  </si>
  <si>
    <t>5</t>
  </si>
  <si>
    <t>Adding the same number to numerator and denominator changes the fraction's value;
you must multiply or divide</t>
  </si>
  <si>
    <t>3/4, 1/2, 3/8, 1/8</t>
  </si>
  <si>
    <t>3 1/5</t>
  </si>
  <si>
    <t>1 10/10</t>
  </si>
  <si>
    <t>1 3/4 litres</t>
  </si>
  <si>
    <t>lheck4@eq.edu.au</t>
  </si>
  <si>
    <t>0.68</t>
  </si>
  <si>
    <t>55%</t>
  </si>
  <si>
    <t>75/100 = 0.75 = 75%</t>
  </si>
  <si>
    <t>Keep the denominator the same and add or subtract the numerators</t>
  </si>
  <si>
    <t>3</t>
  </si>
  <si>
    <t>9/10</t>
  </si>
  <si>
    <t>fpick8@eq.edu.au</t>
  </si>
  <si>
    <t>237.0</t>
  </si>
  <si>
    <t>68.0</t>
  </si>
  <si>
    <t>65%</t>
  </si>
  <si>
    <t>15/5</t>
  </si>
  <si>
    <t>4 1/3</t>
  </si>
  <si>
    <t>4 2/4</t>
  </si>
  <si>
    <t>Incorrect, improper fractions cannot be written as mixed numbers</t>
  </si>
  <si>
    <t>kfiel89@eq.edu.au</t>
  </si>
  <si>
    <t>1 whole pizza and 5/4 pizza</t>
  </si>
  <si>
    <t>6 quarter-cups</t>
  </si>
  <si>
    <t>4/10</t>
  </si>
  <si>
    <t>hherz0@eq.edu.au</t>
  </si>
  <si>
    <t>100 ÷ 43</t>
  </si>
  <si>
    <t>1 1/2</t>
  </si>
  <si>
    <t>Convert all denominators to 100</t>
  </si>
  <si>
    <t>1/2, 1/8, 3/8, 3/4</t>
  </si>
  <si>
    <t>3/5</t>
  </si>
  <si>
    <t>Both A and B are correct</t>
  </si>
  <si>
    <t>epryo13@eq.edu.au</t>
  </si>
  <si>
    <t>14/12</t>
  </si>
  <si>
    <t>4/4</t>
  </si>
  <si>
    <t>dmcdo222@eq.edu.au</t>
  </si>
  <si>
    <t>1 5/10</t>
  </si>
  <si>
    <t>43 × 100</t>
  </si>
  <si>
    <t>5/16</t>
  </si>
  <si>
    <t>smorg220@eq.edu.au</t>
  </si>
  <si>
    <t>Multiply the denominators together</t>
  </si>
  <si>
    <t>2/12</t>
  </si>
  <si>
    <t>4/36</t>
  </si>
  <si>
    <t>jtayl1104@eq.edu.au</t>
  </si>
  <si>
    <t>Incorrect, it should be 3 2/5</t>
  </si>
  <si>
    <t>1/4 litre</t>
  </si>
  <si>
    <t>lmcdo381@eq.edu.au</t>
  </si>
  <si>
    <t>3 2/3</t>
  </si>
  <si>
    <t>11/10</t>
  </si>
  <si>
    <t>cpono2@eq.edu.au</t>
  </si>
  <si>
    <t>2 37/10 or 2.37</t>
  </si>
  <si>
    <t>6.4</t>
  </si>
  <si>
    <t>6/15</t>
  </si>
  <si>
    <t>jbart350@eq.edu.au</t>
  </si>
  <si>
    <t>1/8</t>
  </si>
  <si>
    <t>1/2</t>
  </si>
  <si>
    <t>fwend2@eq.edu.au</t>
  </si>
  <si>
    <t>1/10</t>
  </si>
  <si>
    <t>jbinn27@eq.edu.au</t>
  </si>
  <si>
    <t>6/8</t>
  </si>
  <si>
    <t>mreed71@eq.edu.au</t>
  </si>
  <si>
    <t>5/100 = 0.50 = 5%</t>
  </si>
  <si>
    <t>2/8 + 3/8 &gt; 6/8</t>
  </si>
  <si>
    <t>1/3</t>
  </si>
  <si>
    <t>shart259@eq.edu.au</t>
  </si>
  <si>
    <t>15/100</t>
  </si>
  <si>
    <t>Incorrect, it should be 2 1/5</t>
  </si>
  <si>
    <t>3/0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</si>
</sst>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2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E19" totalsRowCount="1">
  <autoFilter ref="A1:DE18" xr:uid="{00000000-0009-0000-0100-000001000000}"/>
  <sortState xmlns:xlrd2="http://schemas.microsoft.com/office/spreadsheetml/2017/richdata2" ref="A2:DE18">
    <sortCondition ref="D1:D18"/>
  </sortState>
  <tableColumns count="109">
    <tableColumn id="1" xr3:uid="{00000000-0010-0000-0000-000001000000}" name="Id" dataDxfId="211" totalsRowDxfId="10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10" totalsRowDxfId="104">
      <extLst>
        <ext xmlns:xlmsforms="http://schemas.microsoft.com/office/spreadsheetml/2023/msForms" uri="{FCC71383-01E1-4257-9335-427F07BE8D7F}">
          <xlmsforms:question id="responder"/>
        </ext>
      </extLst>
    </tableColumn>
    <tableColumn id="6" xr3:uid="{00000000-0010-0000-0000-000006000000}" name="Total points" dataDxfId="209" totalsRowDxfId="103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208" totalsRowDxfId="102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What is 237/100 expressed as a mixed number and a decimal?" dataDxfId="207" totalsRowDxfId="101">
      <extLst>
        <ext xmlns:xlmsforms="http://schemas.microsoft.com/office/spreadsheetml/2023/msForms" uri="{FCC71383-01E1-4257-9335-427F07BE8D7F}">
          <xlmsforms:question id="r74a2d1a925d34b618ed3199da9270841"/>
        </ext>
      </extLst>
    </tableColumn>
    <tableColumn id="10" xr3:uid="{00000000-0010-0000-0000-00000A000000}" name="Points - What is 237/100 expressed as a mixed number and a decimal?" totalsRowFunction="custom" dataDxfId="206" totalsRowDxfId="100">
      <totalsRowFormula>SUM(OfficeForms.Table[Points - What is 237/100 expressed as a mixed number and a decimal?])</totalsRowFormula>
      <extLst>
        <ext xmlns:xlmsforms="http://schemas.microsoft.com/office/spreadsheetml/2023/msForms" uri="{FCC71383-01E1-4257-9335-427F07BE8D7F}">
          <xlmsforms:question id="r74a2d1a925d34b618ed3199da9270841-Score"/>
        </ext>
      </extLst>
    </tableColumn>
    <tableColumn id="11" xr3:uid="{00000000-0010-0000-0000-00000B000000}" name="Feedback - What is 237/100 expressed as a mixed number and a decimal?" totalsRowFunction="custom" dataDxfId="205" totalsRowDxfId="66">
      <totalsRowFormula>SUM(OfficeForms.Table[Feedback - What is 237/100 expressed as a mixed number and a decimal?])</totalsRowFormula>
      <extLst>
        <ext xmlns:xlmsforms="http://schemas.microsoft.com/office/spreadsheetml/2023/msForms" uri="{FCC71383-01E1-4257-9335-427F07BE8D7F}">
          <xlmsforms:question id="r74a2d1a925d34b618ed3199da9270841-Comment"/>
        </ext>
      </extLst>
    </tableColumn>
    <tableColumn id="12" xr3:uid="{00000000-0010-0000-0000-00000C000000}" name="Which of the following represents 6 8/100 as a decimal?" totalsRowFunction="custom" dataDxfId="204" totalsRowDxfId="65">
      <totalsRowFormula>SUM(OfficeForms.Table[Which of the following represents 6 8/100 as a decimal?])</totalsRowFormula>
      <extLst>
        <ext xmlns:xlmsforms="http://schemas.microsoft.com/office/spreadsheetml/2023/msForms" uri="{FCC71383-01E1-4257-9335-427F07BE8D7F}">
          <xlmsforms:question id="r9d1a437e38024f48a434deca5700a18a"/>
        </ext>
      </extLst>
    </tableColumn>
    <tableColumn id="13" xr3:uid="{00000000-0010-0000-0000-00000D000000}" name="Points - Which of the following represents 6 8/100 as a decimal?" totalsRowFunction="custom" dataDxfId="203" totalsRowDxfId="99">
      <totalsRowFormula>SUM(OfficeForms.Table[Points - Which of the following represents 6 8/100 as a decimal?])</totalsRowFormula>
      <extLst>
        <ext xmlns:xlmsforms="http://schemas.microsoft.com/office/spreadsheetml/2023/msForms" uri="{FCC71383-01E1-4257-9335-427F07BE8D7F}">
          <xlmsforms:question id="r9d1a437e38024f48a434deca5700a18a-Score"/>
        </ext>
      </extLst>
    </tableColumn>
    <tableColumn id="14" xr3:uid="{00000000-0010-0000-0000-00000E000000}" name="Feedback - Which of the following represents 6 8/100 as a decimal?" totalsRowFunction="custom" dataDxfId="202" totalsRowDxfId="64">
      <totalsRowFormula>SUM(OfficeForms.Table[Feedback - Which of the following represents 6 8/100 as a decimal?])</totalsRowFormula>
      <extLst>
        <ext xmlns:xlmsforms="http://schemas.microsoft.com/office/spreadsheetml/2023/msForms" uri="{FCC71383-01E1-4257-9335-427F07BE8D7F}">
          <xlmsforms:question id="r9d1a437e38024f48a434deca5700a18a-Comment"/>
        </ext>
      </extLst>
    </tableColumn>
    <tableColumn id="15" xr3:uid="{00000000-0010-0000-0000-00000F000000}" name="A hundred-square grid has 45 squares shaded. What percentage of the square grid is NOT shaded?" totalsRowFunction="custom" dataDxfId="201" totalsRowDxfId="63">
      <totalsRowFormula>SUM(OfficeForms.Table[A hundred-square grid has 45 squares shaded. What percentage of the square grid is NOT shaded?])</totalsRowFormula>
      <extLst>
        <ext xmlns:xlmsforms="http://schemas.microsoft.com/office/spreadsheetml/2023/msForms" uri="{FCC71383-01E1-4257-9335-427F07BE8D7F}">
          <xlmsforms:question id="rc7f5db09d20340d5817d4cdb88b0ae6e"/>
        </ext>
      </extLst>
    </tableColumn>
    <tableColumn id="16" xr3:uid="{00000000-0010-0000-0000-000010000000}" name="Points - A hundred-square grid has 45 squares shaded. What percentage of the square grid is NOT shaded?" totalsRowFunction="custom" dataDxfId="200" totalsRowDxfId="98">
      <totalsRowFormula>SUM(OfficeForms.Table[Points - A hundred-square grid has 45 squares shaded. What percentage of the square grid is NOT shaded?])</totalsRowFormula>
      <extLst>
        <ext xmlns:xlmsforms="http://schemas.microsoft.com/office/spreadsheetml/2023/msForms" uri="{FCC71383-01E1-4257-9335-427F07BE8D7F}">
          <xlmsforms:question id="rc7f5db09d20340d5817d4cdb88b0ae6e-Score"/>
        </ext>
      </extLst>
    </tableColumn>
    <tableColumn id="17" xr3:uid="{00000000-0010-0000-0000-000011000000}" name="Feedback - A hundred-square grid has 45 squares shaded. What percentage of the square grid is NOT shaded?" totalsRowFunction="custom" dataDxfId="199" totalsRowDxfId="62">
      <totalsRowFormula>SUM(OfficeForms.Table[Feedback - A hundred-square grid has 45 squares shaded. What percentage of the square grid is NOT shaded?])</totalsRowFormula>
      <extLst>
        <ext xmlns:xlmsforms="http://schemas.microsoft.com/office/spreadsheetml/2023/msForms" uri="{FCC71383-01E1-4257-9335-427F07BE8D7F}">
          <xlmsforms:question id="rc7f5db09d20340d5817d4cdb88b0ae6e-Comment"/>
        </ext>
      </extLst>
    </tableColumn>
    <tableColumn id="18" xr3:uid="{00000000-0010-0000-0000-000012000000}" name="Which fraction, decimal, and percentage set are all equivalent?" totalsRowFunction="custom" dataDxfId="198" totalsRowDxfId="61">
      <totalsRowFormula>SUM(OfficeForms.Table[Which fraction, decimal, and percentage set are all equivalent?])</totalsRowFormula>
      <extLst>
        <ext xmlns:xlmsforms="http://schemas.microsoft.com/office/spreadsheetml/2023/msForms" uri="{FCC71383-01E1-4257-9335-427F07BE8D7F}">
          <xlmsforms:question id="r82d7d46275eb473bb6d7567ba656cc4e"/>
        </ext>
      </extLst>
    </tableColumn>
    <tableColumn id="19" xr3:uid="{00000000-0010-0000-0000-000013000000}" name="Points - Which fraction, decimal, and percentage set are all equivalent?" totalsRowFunction="custom" dataDxfId="197" totalsRowDxfId="97">
      <totalsRowFormula>SUM(OfficeForms.Table[Points - Which fraction, decimal, and percentage set are all equivalent?])</totalsRowFormula>
      <extLst>
        <ext xmlns:xlmsforms="http://schemas.microsoft.com/office/spreadsheetml/2023/msForms" uri="{FCC71383-01E1-4257-9335-427F07BE8D7F}">
          <xlmsforms:question id="r82d7d46275eb473bb6d7567ba656cc4e-Score"/>
        </ext>
      </extLst>
    </tableColumn>
    <tableColumn id="20" xr3:uid="{00000000-0010-0000-0000-000014000000}" name="Feedback - Which fraction, decimal, and percentage set are all equivalent?" totalsRowFunction="custom" dataDxfId="196" totalsRowDxfId="60">
      <totalsRowFormula>SUM(OfficeForms.Table[Feedback - Which fraction, decimal, and percentage set are all equivalent?])</totalsRowFormula>
      <extLst>
        <ext xmlns:xlmsforms="http://schemas.microsoft.com/office/spreadsheetml/2023/msForms" uri="{FCC71383-01E1-4257-9335-427F07BE8D7F}">
          <xlmsforms:question id="r82d7d46275eb473bb6d7567ba656cc4e-Comment"/>
        </ext>
      </extLst>
    </tableColumn>
    <tableColumn id="21" xr3:uid="{00000000-0010-0000-0000-000015000000}" name="What is 1.05 expressed as a mixed number in fraction form over 100?" totalsRowFunction="custom" dataDxfId="195" totalsRowDxfId="59">
      <totalsRowFormula>SUM(OfficeForms.Table[What is 1.05 expressed as a mixed number in fraction form over 100?])</totalsRowFormula>
      <extLst>
        <ext xmlns:xlmsforms="http://schemas.microsoft.com/office/spreadsheetml/2023/msForms" uri="{FCC71383-01E1-4257-9335-427F07BE8D7F}">
          <xlmsforms:question id="r6ed5d78f274c4d699a446af7508bdf93"/>
        </ext>
      </extLst>
    </tableColumn>
    <tableColumn id="22" xr3:uid="{00000000-0010-0000-0000-000016000000}" name="Points - What is 1.05 expressed as a mixed number in fraction form over 100?" totalsRowFunction="custom" dataDxfId="194" totalsRowDxfId="96">
      <totalsRowFormula>SUM(OfficeForms.Table[Points - What is 1.05 expressed as a mixed number in fraction form over 100?])</totalsRowFormula>
      <extLst>
        <ext xmlns:xlmsforms="http://schemas.microsoft.com/office/spreadsheetml/2023/msForms" uri="{FCC71383-01E1-4257-9335-427F07BE8D7F}">
          <xlmsforms:question id="r6ed5d78f274c4d699a446af7508bdf93-Score"/>
        </ext>
      </extLst>
    </tableColumn>
    <tableColumn id="23" xr3:uid="{00000000-0010-0000-0000-000017000000}" name="Feedback - What is 1.05 expressed as a mixed number in fraction form over 100?" totalsRowFunction="custom" dataDxfId="193" totalsRowDxfId="58">
      <totalsRowFormula>SUM(OfficeForms.Table[Feedback - What is 1.05 expressed as a mixed number in fraction form over 100?])</totalsRowFormula>
      <extLst>
        <ext xmlns:xlmsforms="http://schemas.microsoft.com/office/spreadsheetml/2023/msForms" uri="{FCC71383-01E1-4257-9335-427F07BE8D7F}">
          <xlmsforms:question id="r6ed5d78f274c4d699a446af7508bdf93-Comment"/>
        </ext>
      </extLst>
    </tableColumn>
    <tableColumn id="24" xr3:uid="{00000000-0010-0000-0000-000018000000}" name="If a phone screen displays 64% battery charge, what decimal of the total battery charge remains?" totalsRowFunction="custom" dataDxfId="192" totalsRowDxfId="57">
      <totalsRowFormula>SUM(OfficeForms.Table[If a phone screen displays 64% battery charge, what decimal of the total battery charge remains?])</totalsRowFormula>
      <extLst>
        <ext xmlns:xlmsforms="http://schemas.microsoft.com/office/spreadsheetml/2023/msForms" uri="{FCC71383-01E1-4257-9335-427F07BE8D7F}">
          <xlmsforms:question id="r0bbafd6709e141cf83c76bf649b7133a"/>
        </ext>
      </extLst>
    </tableColumn>
    <tableColumn id="25" xr3:uid="{00000000-0010-0000-0000-000019000000}" name="Points - If a phone screen displays 64% battery charge, what decimal of the total battery charge remains?" totalsRowFunction="custom" dataDxfId="191" totalsRowDxfId="95">
      <totalsRowFormula>SUM(OfficeForms.Table[Points - If a phone screen displays 64% battery charge, what decimal of the total battery charge remains?])</totalsRowFormula>
      <extLst>
        <ext xmlns:xlmsforms="http://schemas.microsoft.com/office/spreadsheetml/2023/msForms" uri="{FCC71383-01E1-4257-9335-427F07BE8D7F}">
          <xlmsforms:question id="r0bbafd6709e141cf83c76bf649b7133a-Score"/>
        </ext>
      </extLst>
    </tableColumn>
    <tableColumn id="26" xr3:uid="{00000000-0010-0000-0000-00001A000000}" name="Feedback - If a phone screen displays 64% battery charge, what decimal of the total battery charge remains?" totalsRowFunction="custom" dataDxfId="190" totalsRowDxfId="56">
      <totalsRowFormula>SUM(OfficeForms.Table[Feedback - If a phone screen displays 64% battery charge, what decimal of the total battery charge remains?])</totalsRowFormula>
      <extLst>
        <ext xmlns:xlmsforms="http://schemas.microsoft.com/office/spreadsheetml/2023/msForms" uri="{FCC71383-01E1-4257-9335-427F07BE8D7F}">
          <xlmsforms:question id="r0bbafd6709e141cf83c76bf649b7133a-Comment"/>
        </ext>
      </extLst>
    </tableColumn>
    <tableColumn id="27" xr3:uid="{00000000-0010-0000-0000-00001B000000}" name="Which mathematical operation shows how to convert 43/100 into a decimal on a calculator?" totalsRowFunction="custom" dataDxfId="189" totalsRowDxfId="55">
      <totalsRowFormula>SUM(OfficeForms.Table[Which mathematical operation shows how to convert 43/100 into a decimal on a calculator?])</totalsRowFormula>
      <extLst>
        <ext xmlns:xlmsforms="http://schemas.microsoft.com/office/spreadsheetml/2023/msForms" uri="{FCC71383-01E1-4257-9335-427F07BE8D7F}">
          <xlmsforms:question id="rd8bde44987d545529c955a778e9786da"/>
        </ext>
      </extLst>
    </tableColumn>
    <tableColumn id="28" xr3:uid="{00000000-0010-0000-0000-00001C000000}" name="Points - Which mathematical operation shows how to convert 43/100 into a decimal on a calculator?" totalsRowFunction="custom" dataDxfId="188" totalsRowDxfId="94">
      <totalsRowFormula>SUM(OfficeForms.Table[Points - Which mathematical operation shows how to convert 43/100 into a decimal on a calculator?])</totalsRowFormula>
      <extLst>
        <ext xmlns:xlmsforms="http://schemas.microsoft.com/office/spreadsheetml/2023/msForms" uri="{FCC71383-01E1-4257-9335-427F07BE8D7F}">
          <xlmsforms:question id="rd8bde44987d545529c955a778e9786da-Score"/>
        </ext>
      </extLst>
    </tableColumn>
    <tableColumn id="29" xr3:uid="{00000000-0010-0000-0000-00001D000000}" name="Feedback - Which mathematical operation shows how to convert 43/100 into a decimal on a calculator?" totalsRowFunction="custom" dataDxfId="187" totalsRowDxfId="54">
      <totalsRowFormula>SUM(OfficeForms.Table[Feedback - Which mathematical operation shows how to convert 43/100 into a decimal on a calculator?])</totalsRowFormula>
      <extLst>
        <ext xmlns:xlmsforms="http://schemas.microsoft.com/office/spreadsheetml/2023/msForms" uri="{FCC71383-01E1-4257-9335-427F07BE8D7F}">
          <xlmsforms:question id="rd8bde44987d545529c955a778e9786da-Comment"/>
        </ext>
      </extLst>
    </tableColumn>
    <tableColumn id="30" xr3:uid="{00000000-0010-0000-0000-00001E000000}" name="Which of the following is an improper fraction?" totalsRowFunction="custom" dataDxfId="186" totalsRowDxfId="53">
      <totalsRowFormula>SUM(OfficeForms.Table[Which of the following is an improper fraction?])</totalsRowFormula>
      <extLst>
        <ext xmlns:xlmsforms="http://schemas.microsoft.com/office/spreadsheetml/2023/msForms" uri="{FCC71383-01E1-4257-9335-427F07BE8D7F}">
          <xlmsforms:question id="r4479c7455c0040509538b38cb905bd59"/>
        </ext>
      </extLst>
    </tableColumn>
    <tableColumn id="31" xr3:uid="{00000000-0010-0000-0000-00001F000000}" name="Points - Which of the following is an improper fraction?" totalsRowFunction="custom" dataDxfId="185" totalsRowDxfId="93">
      <totalsRowFormula>SUM(OfficeForms.Table[Points - Which of the following is an improper fraction?])</totalsRowFormula>
      <extLst>
        <ext xmlns:xlmsforms="http://schemas.microsoft.com/office/spreadsheetml/2023/msForms" uri="{FCC71383-01E1-4257-9335-427F07BE8D7F}">
          <xlmsforms:question id="r4479c7455c0040509538b38cb905bd59-Score"/>
        </ext>
      </extLst>
    </tableColumn>
    <tableColumn id="32" xr3:uid="{00000000-0010-0000-0000-000020000000}" name="Feedback - Which of the following is an improper fraction?" totalsRowFunction="custom" dataDxfId="184" totalsRowDxfId="52">
      <totalsRowFormula>SUM(OfficeForms.Table[Feedback - Which of the following is an improper fraction?])</totalsRowFormula>
      <extLst>
        <ext xmlns:xlmsforms="http://schemas.microsoft.com/office/spreadsheetml/2023/msForms" uri="{FCC71383-01E1-4257-9335-427F07BE8D7F}">
          <xlmsforms:question id="r4479c7455c0040509538b38cb905bd59-Comment"/>
        </ext>
      </extLst>
    </tableColumn>
    <tableColumn id="33" xr3:uid="{00000000-0010-0000-0000-000021000000}" name="Convert 3 2/5 into an improper fraction." totalsRowFunction="custom" dataDxfId="183" totalsRowDxfId="51">
      <totalsRowFormula>SUM(OfficeForms.Table[Convert 3 2/5 into an improper fraction.])</totalsRowFormula>
      <extLst>
        <ext xmlns:xlmsforms="http://schemas.microsoft.com/office/spreadsheetml/2023/msForms" uri="{FCC71383-01E1-4257-9335-427F07BE8D7F}">
          <xlmsforms:question id="r73997f42467a49a8b186fd25e7087846"/>
        </ext>
      </extLst>
    </tableColumn>
    <tableColumn id="34" xr3:uid="{00000000-0010-0000-0000-000022000000}" name="Points - Convert 3 2/5 into an improper fraction." totalsRowFunction="custom" dataDxfId="182" totalsRowDxfId="92">
      <totalsRowFormula>SUM(OfficeForms.Table[Points - Convert 3 2/5 into an improper fraction.])</totalsRowFormula>
      <extLst>
        <ext xmlns:xlmsforms="http://schemas.microsoft.com/office/spreadsheetml/2023/msForms" uri="{FCC71383-01E1-4257-9335-427F07BE8D7F}">
          <xlmsforms:question id="r73997f42467a49a8b186fd25e7087846-Score"/>
        </ext>
      </extLst>
    </tableColumn>
    <tableColumn id="35" xr3:uid="{00000000-0010-0000-0000-000023000000}" name="Feedback - Convert 3 2/5 into an improper fraction." totalsRowFunction="custom" dataDxfId="181" totalsRowDxfId="50">
      <totalsRowFormula>SUM(OfficeForms.Table[Feedback - Convert 3 2/5 into an improper fraction.])</totalsRowFormula>
      <extLst>
        <ext xmlns:xlmsforms="http://schemas.microsoft.com/office/spreadsheetml/2023/msForms" uri="{FCC71383-01E1-4257-9335-427F07BE8D7F}">
          <xlmsforms:question id="r73997f42467a49a8b186fd25e7087846-Comment"/>
        </ext>
      </extLst>
    </tableColumn>
    <tableColumn id="36" xr3:uid="{00000000-0010-0000-0000-000024000000}" name="Convert 14/3 into a mixed number." totalsRowFunction="custom" dataDxfId="180" totalsRowDxfId="49">
      <totalsRowFormula>SUM(OfficeForms.Table[Convert 14/3 into a mixed number.])</totalsRowFormula>
      <extLst>
        <ext xmlns:xlmsforms="http://schemas.microsoft.com/office/spreadsheetml/2023/msForms" uri="{FCC71383-01E1-4257-9335-427F07BE8D7F}">
          <xlmsforms:question id="r82abb0a512b84afdb3a82248657d41a4"/>
        </ext>
      </extLst>
    </tableColumn>
    <tableColumn id="37" xr3:uid="{00000000-0010-0000-0000-000025000000}" name="Points - Convert 14/3 into a mixed number." totalsRowFunction="custom" dataDxfId="179" totalsRowDxfId="91">
      <totalsRowFormula>SUM(OfficeForms.Table[Points - Convert 14/3 into a mixed number.])</totalsRowFormula>
      <extLst>
        <ext xmlns:xlmsforms="http://schemas.microsoft.com/office/spreadsheetml/2023/msForms" uri="{FCC71383-01E1-4257-9335-427F07BE8D7F}">
          <xlmsforms:question id="r82abb0a512b84afdb3a82248657d41a4-Score"/>
        </ext>
      </extLst>
    </tableColumn>
    <tableColumn id="38" xr3:uid="{00000000-0010-0000-0000-000026000000}" name="Feedback - Convert 14/3 into a mixed number." totalsRowFunction="custom" dataDxfId="178" totalsRowDxfId="48">
      <totalsRowFormula>SUM(OfficeForms.Table[Feedback - Convert 14/3 into a mixed number.])</totalsRowFormula>
      <extLst>
        <ext xmlns:xlmsforms="http://schemas.microsoft.com/office/spreadsheetml/2023/msForms" uri="{FCC71383-01E1-4257-9335-427F07BE8D7F}">
          <xlmsforms:question id="r82abb0a512b84afdb3a82248657d41a4-Comment"/>
        </ext>
      </extLst>
    </tableColumn>
    <tableColumn id="39" xr3:uid="{00000000-0010-0000-0000-000027000000}" name="If pizzas are cut into quarters and you have 9 slices in total, how many whole pizzas and extra quarters do you have?" totalsRowFunction="custom" dataDxfId="177" totalsRowDxfId="47">
      <totalsRowFormula>SUM(OfficeForms.Table[If pizzas are cut into quarters and you have 9 slices in total, how many whole pizzas and extra quarters do you have?])</totalsRowFormula>
      <extLst>
        <ext xmlns:xlmsforms="http://schemas.microsoft.com/office/spreadsheetml/2023/msForms" uri="{FCC71383-01E1-4257-9335-427F07BE8D7F}">
          <xlmsforms:question id="r00bbabba8f9142eeaf569562c3b56748"/>
        </ext>
      </extLst>
    </tableColumn>
    <tableColumn id="40" xr3:uid="{00000000-0010-0000-0000-000028000000}" name="Points - If pizzas are cut into quarters and you have 9 slices in total, how many whole pizzas and extra quarters do you have?" totalsRowFunction="custom" dataDxfId="176" totalsRowDxfId="90">
      <totalsRowFormula>SUM(OfficeForms.Table[Points - If pizzas are cut into quarters and you have 9 slices in total, how many whole pizzas and extra quarters do you have?])</totalsRowFormula>
      <extLst>
        <ext xmlns:xlmsforms="http://schemas.microsoft.com/office/spreadsheetml/2023/msForms" uri="{FCC71383-01E1-4257-9335-427F07BE8D7F}">
          <xlmsforms:question id="r00bbabba8f9142eeaf569562c3b56748-Score"/>
        </ext>
      </extLst>
    </tableColumn>
    <tableColumn id="41" xr3:uid="{00000000-0010-0000-0000-000029000000}" name="Feedback - If pizzas are cut into quarters and you have 9 slices in total, how many whole pizzas and extra quarters do you have?" totalsRowFunction="custom" dataDxfId="175" totalsRowDxfId="46">
      <totalsRowFormula>SUM(OfficeForms.Table[Feedback - If pizzas are cut into quarters and you have 9 slices in total, how many whole pizzas and extra quarters do you have?])</totalsRowFormula>
      <extLst>
        <ext xmlns:xlmsforms="http://schemas.microsoft.com/office/spreadsheetml/2023/msForms" uri="{FCC71383-01E1-4257-9335-427F07BE8D7F}">
          <xlmsforms:question id="r00bbabba8f9142eeaf569562c3b56748-Comment"/>
        </ext>
      </extLst>
    </tableColumn>
    <tableColumn id="42" xr3:uid="{00000000-0010-0000-0000-00002A000000}" name="A baking recipe requires 2 3/4 cups of flour. How many quarter-cups of flour is this in total?" totalsRowFunction="custom" dataDxfId="174" totalsRowDxfId="45">
      <totalsRowFormula>SUM(OfficeForms.Table[A baking recipe requires 2 3/4 cups of flour. How many quarter-cups of flour is this in total?])</totalsRowFormula>
      <extLst>
        <ext xmlns:xlmsforms="http://schemas.microsoft.com/office/spreadsheetml/2023/msForms" uri="{FCC71383-01E1-4257-9335-427F07BE8D7F}">
          <xlmsforms:question id="rd8d44f05fa3d4edfa02df7a945859c11"/>
        </ext>
      </extLst>
    </tableColumn>
    <tableColumn id="43" xr3:uid="{00000000-0010-0000-0000-00002B000000}" name="Points - A baking recipe requires 2 3/4 cups of flour. How many quarter-cups of flour is this in total?" totalsRowFunction="custom" dataDxfId="173" totalsRowDxfId="89">
      <totalsRowFormula>SUM(OfficeForms.Table[Points - A baking recipe requires 2 3/4 cups of flour. How many quarter-cups of flour is this in total?])</totalsRowFormula>
      <extLst>
        <ext xmlns:xlmsforms="http://schemas.microsoft.com/office/spreadsheetml/2023/msForms" uri="{FCC71383-01E1-4257-9335-427F07BE8D7F}">
          <xlmsforms:question id="rd8d44f05fa3d4edfa02df7a945859c11-Score"/>
        </ext>
      </extLst>
    </tableColumn>
    <tableColumn id="44" xr3:uid="{00000000-0010-0000-0000-00002C000000}" name="Feedback - A baking recipe requires 2 3/4 cups of flour. How many quarter-cups of flour is this in total?" totalsRowFunction="custom" dataDxfId="172" totalsRowDxfId="44">
      <totalsRowFormula>SUM(OfficeForms.Table[Feedback - A baking recipe requires 2 3/4 cups of flour. How many quarter-cups of flour is this in total?])</totalsRowFormula>
      <extLst>
        <ext xmlns:xlmsforms="http://schemas.microsoft.com/office/spreadsheetml/2023/msForms" uri="{FCC71383-01E1-4257-9335-427F07BE8D7F}">
          <xlmsforms:question id="rd8d44f05fa3d4edfa02df7a945859c11-Comment"/>
        </ext>
      </extLst>
    </tableColumn>
    <tableColumn id="45" xr3:uid="{00000000-0010-0000-0000-00002D000000}" name="Which mixed number is equal to 22/4?" totalsRowFunction="custom" dataDxfId="171" totalsRowDxfId="43">
      <totalsRowFormula>SUM(OfficeForms.Table[Which mixed number is equal to 22/4?])</totalsRowFormula>
      <extLst>
        <ext xmlns:xlmsforms="http://schemas.microsoft.com/office/spreadsheetml/2023/msForms" uri="{FCC71383-01E1-4257-9335-427F07BE8D7F}">
          <xlmsforms:question id="rb330ad07cd8848349092fe2fc6e00bfb"/>
        </ext>
      </extLst>
    </tableColumn>
    <tableColumn id="46" xr3:uid="{00000000-0010-0000-0000-00002E000000}" name="Points - Which mixed number is equal to 22/4?" totalsRowFunction="custom" dataDxfId="170" totalsRowDxfId="88">
      <totalsRowFormula>SUM(OfficeForms.Table[Points - Which mixed number is equal to 22/4?])</totalsRowFormula>
      <extLst>
        <ext xmlns:xlmsforms="http://schemas.microsoft.com/office/spreadsheetml/2023/msForms" uri="{FCC71383-01E1-4257-9335-427F07BE8D7F}">
          <xlmsforms:question id="rb330ad07cd8848349092fe2fc6e00bfb-Score"/>
        </ext>
      </extLst>
    </tableColumn>
    <tableColumn id="47" xr3:uid="{00000000-0010-0000-0000-00002F000000}" name="Feedback - Which mixed number is equal to 22/4?" totalsRowFunction="custom" dataDxfId="169" totalsRowDxfId="42">
      <totalsRowFormula>SUM(OfficeForms.Table[Feedback - Which mixed number is equal to 22/4?])</totalsRowFormula>
      <extLst>
        <ext xmlns:xlmsforms="http://schemas.microsoft.com/office/spreadsheetml/2023/msForms" uri="{FCC71383-01E1-4257-9335-427F07BE8D7F}">
          <xlmsforms:question id="rb330ad07cd8848349092fe2fc6e00bfb-Comment"/>
        </ext>
      </extLst>
    </tableColumn>
    <tableColumn id="48" xr3:uid="{00000000-0010-0000-0000-000030000000}" name="A student says that 13/5 is equal to 2 3/5. Is this student correct or incorrect?" totalsRowFunction="custom" dataDxfId="168" totalsRowDxfId="41">
      <totalsRowFormula>SUM(OfficeForms.Table[A student says that 13/5 is equal to 2 3/5. Is this student correct or incorrect?])</totalsRowFormula>
      <extLst>
        <ext xmlns:xlmsforms="http://schemas.microsoft.com/office/spreadsheetml/2023/msForms" uri="{FCC71383-01E1-4257-9335-427F07BE8D7F}">
          <xlmsforms:question id="re75ec8957f8847cba7db1f215a781785"/>
        </ext>
      </extLst>
    </tableColumn>
    <tableColumn id="49" xr3:uid="{00000000-0010-0000-0000-000031000000}" name="Points - A student says that 13/5 is equal to 2 3/5. Is this student correct or incorrect?" totalsRowFunction="custom" dataDxfId="167" totalsRowDxfId="87">
      <totalsRowFormula>SUM(OfficeForms.Table[Points - A student says that 13/5 is equal to 2 3/5. Is this student correct or incorrect?])</totalsRowFormula>
      <extLst>
        <ext xmlns:xlmsforms="http://schemas.microsoft.com/office/spreadsheetml/2023/msForms" uri="{FCC71383-01E1-4257-9335-427F07BE8D7F}">
          <xlmsforms:question id="re75ec8957f8847cba7db1f215a781785-Score"/>
        </ext>
      </extLst>
    </tableColumn>
    <tableColumn id="50" xr3:uid="{00000000-0010-0000-0000-000032000000}" name="Feedback - A student says that 13/5 is equal to 2 3/5. Is this student correct or incorrect?" totalsRowFunction="custom" dataDxfId="166" totalsRowDxfId="40">
      <totalsRowFormula>SUM(OfficeForms.Table[Feedback - A student says that 13/5 is equal to 2 3/5. Is this student correct or incorrect?])</totalsRowFormula>
      <extLst>
        <ext xmlns:xlmsforms="http://schemas.microsoft.com/office/spreadsheetml/2023/msForms" uri="{FCC71383-01E1-4257-9335-427F07BE8D7F}">
          <xlmsforms:question id="re75ec8957f8847cba7db1f215a781785-Comment"/>
        </ext>
      </extLst>
    </tableColumn>
    <tableColumn id="51" xr3:uid="{00000000-0010-0000-0000-000033000000}" name="Calculate 3/8 + 2/8." totalsRowFunction="custom" dataDxfId="165" totalsRowDxfId="39">
      <totalsRowFormula>SUM(OfficeForms.Table[Calculate 3/8 + 2/8.])</totalsRowFormula>
      <extLst>
        <ext xmlns:xlmsforms="http://schemas.microsoft.com/office/spreadsheetml/2023/msForms" uri="{FCC71383-01E1-4257-9335-427F07BE8D7F}">
          <xlmsforms:question id="r7d8f2d520a074c94b5835707339c69a6"/>
        </ext>
      </extLst>
    </tableColumn>
    <tableColumn id="52" xr3:uid="{00000000-0010-0000-0000-000034000000}" name="Points - Calculate 3/8 + 2/8." totalsRowFunction="custom" dataDxfId="164" totalsRowDxfId="86">
      <totalsRowFormula>SUM(OfficeForms.Table[Points - Calculate 3/8 + 2/8.])</totalsRowFormula>
      <extLst>
        <ext xmlns:xlmsforms="http://schemas.microsoft.com/office/spreadsheetml/2023/msForms" uri="{FCC71383-01E1-4257-9335-427F07BE8D7F}">
          <xlmsforms:question id="r7d8f2d520a074c94b5835707339c69a6-Score"/>
        </ext>
      </extLst>
    </tableColumn>
    <tableColumn id="53" xr3:uid="{00000000-0010-0000-0000-000035000000}" name="Feedback - Calculate 3/8 + 2/8." totalsRowFunction="custom" dataDxfId="163" totalsRowDxfId="38">
      <totalsRowFormula>SUM(OfficeForms.Table[Feedback - Calculate 3/8 + 2/8.])</totalsRowFormula>
      <extLst>
        <ext xmlns:xlmsforms="http://schemas.microsoft.com/office/spreadsheetml/2023/msForms" uri="{FCC71383-01E1-4257-9335-427F07BE8D7F}">
          <xlmsforms:question id="r7d8f2d520a074c94b5835707339c69a6-Comment"/>
        </ext>
      </extLst>
    </tableColumn>
    <tableColumn id="54" xr3:uid="{00000000-0010-0000-0000-000036000000}" name="Calculate 7/10 - 4/10." totalsRowFunction="custom" dataDxfId="162" totalsRowDxfId="37">
      <totalsRowFormula>SUM(OfficeForms.Table[Calculate 7/10 - 4/10.])</totalsRowFormula>
      <extLst>
        <ext xmlns:xlmsforms="http://schemas.microsoft.com/office/spreadsheetml/2023/msForms" uri="{FCC71383-01E1-4257-9335-427F07BE8D7F}">
          <xlmsforms:question id="r6c9c8243ae3643069a81acb1f83c0aa9"/>
        </ext>
      </extLst>
    </tableColumn>
    <tableColumn id="55" xr3:uid="{00000000-0010-0000-0000-000037000000}" name="Points - Calculate 7/10 - 4/10." totalsRowFunction="custom" dataDxfId="161" totalsRowDxfId="85">
      <totalsRowFormula>SUM(OfficeForms.Table[Points - Calculate 7/10 - 4/10.])</totalsRowFormula>
      <extLst>
        <ext xmlns:xlmsforms="http://schemas.microsoft.com/office/spreadsheetml/2023/msForms" uri="{FCC71383-01E1-4257-9335-427F07BE8D7F}">
          <xlmsforms:question id="r6c9c8243ae3643069a81acb1f83c0aa9-Score"/>
        </ext>
      </extLst>
    </tableColumn>
    <tableColumn id="56" xr3:uid="{00000000-0010-0000-0000-000038000000}" name="Feedback - Calculate 7/10 - 4/10." totalsRowFunction="custom" dataDxfId="160" totalsRowDxfId="36">
      <totalsRowFormula>SUM(OfficeForms.Table[Feedback - Calculate 7/10 - 4/10.])</totalsRowFormula>
      <extLst>
        <ext xmlns:xlmsforms="http://schemas.microsoft.com/office/spreadsheetml/2023/msForms" uri="{FCC71383-01E1-4257-9335-427F07BE8D7F}">
          <xlmsforms:question id="r6c9c8243ae3643069a81acb1f83c0aa9-Comment"/>
        </ext>
      </extLst>
    </tableColumn>
    <tableColumn id="57" xr3:uid="{00000000-0010-0000-0000-000039000000}" name="What is the Golden Rule when adding or subtracting fractions with the same denominator?" totalsRowFunction="custom" dataDxfId="159" totalsRowDxfId="35">
      <totalsRowFormula>SUM(OfficeForms.Table[What is the Golden Rule when adding or subtracting fractions with the same denominator?])</totalsRowFormula>
      <extLst>
        <ext xmlns:xlmsforms="http://schemas.microsoft.com/office/spreadsheetml/2023/msForms" uri="{FCC71383-01E1-4257-9335-427F07BE8D7F}">
          <xlmsforms:question id="rd9629d2b84cd4a1d9bac59ba5df9ae38"/>
        </ext>
      </extLst>
    </tableColumn>
    <tableColumn id="58" xr3:uid="{00000000-0010-0000-0000-00003A000000}" name="Points - What is the Golden Rule when adding or subtracting fractions with the same denominator?" totalsRowFunction="custom" dataDxfId="158" totalsRowDxfId="84">
      <totalsRowFormula>SUM(OfficeForms.Table[Points - What is the Golden Rule when adding or subtracting fractions with the same denominator?])</totalsRowFormula>
      <extLst>
        <ext xmlns:xlmsforms="http://schemas.microsoft.com/office/spreadsheetml/2023/msForms" uri="{FCC71383-01E1-4257-9335-427F07BE8D7F}">
          <xlmsforms:question id="rd9629d2b84cd4a1d9bac59ba5df9ae38-Score"/>
        </ext>
      </extLst>
    </tableColumn>
    <tableColumn id="59" xr3:uid="{00000000-0010-0000-0000-00003B000000}" name="Feedback - What is the Golden Rule when adding or subtracting fractions with the same denominator?" totalsRowFunction="custom" dataDxfId="157" totalsRowDxfId="34">
      <totalsRowFormula>SUM(OfficeForms.Table[Feedback - What is the Golden Rule when adding or subtracting fractions with the same denominator?])</totalsRowFormula>
      <extLst>
        <ext xmlns:xlmsforms="http://schemas.microsoft.com/office/spreadsheetml/2023/msForms" uri="{FCC71383-01E1-4257-9335-427F07BE8D7F}">
          <xlmsforms:question id="rd9629d2b84cd4a1d9bac59ba5df9ae38-Comment"/>
        </ext>
      </extLst>
    </tableColumn>
    <tableColumn id="60" xr3:uid="{00000000-0010-0000-0000-00003C000000}" name="Which inequality comparison statement is TRUE?" totalsRowFunction="custom" dataDxfId="156" totalsRowDxfId="33">
      <totalsRowFormula>SUM(OfficeForms.Table[Which inequality comparison statement is TRUE?])</totalsRowFormula>
      <extLst>
        <ext xmlns:xlmsforms="http://schemas.microsoft.com/office/spreadsheetml/2023/msForms" uri="{FCC71383-01E1-4257-9335-427F07BE8D7F}">
          <xlmsforms:question id="r7fd679bf985a44bc91b33c184cee0cc2"/>
        </ext>
      </extLst>
    </tableColumn>
    <tableColumn id="61" xr3:uid="{00000000-0010-0000-0000-00003D000000}" name="Points - Which inequality comparison statement is TRUE?" totalsRowFunction="custom" dataDxfId="155" totalsRowDxfId="83">
      <totalsRowFormula>SUM(OfficeForms.Table[Points - Which inequality comparison statement is TRUE?])</totalsRowFormula>
      <extLst>
        <ext xmlns:xlmsforms="http://schemas.microsoft.com/office/spreadsheetml/2023/msForms" uri="{FCC71383-01E1-4257-9335-427F07BE8D7F}">
          <xlmsforms:question id="r7fd679bf985a44bc91b33c184cee0cc2-Score"/>
        </ext>
      </extLst>
    </tableColumn>
    <tableColumn id="62" xr3:uid="{00000000-0010-0000-0000-00003E000000}" name="Feedback - Which inequality comparison statement is TRUE?" totalsRowFunction="custom" dataDxfId="154" totalsRowDxfId="32">
      <totalsRowFormula>SUM(OfficeForms.Table[Feedback - Which inequality comparison statement is TRUE?])</totalsRowFormula>
      <extLst>
        <ext xmlns:xlmsforms="http://schemas.microsoft.com/office/spreadsheetml/2023/msForms" uri="{FCC71383-01E1-4257-9335-427F07BE8D7F}">
          <xlmsforms:question id="r7fd679bf985a44bc91b33c184cee0cc2-Comment"/>
        </ext>
      </extLst>
    </tableColumn>
    <tableColumn id="63" xr3:uid="{00000000-0010-0000-0000-00003F000000}" name="Sharon ate 3/12 of a chocolate block and Franco ate 5/12 of the same block. What fraction did they eat combined?" totalsRowFunction="custom" dataDxfId="153" totalsRowDxfId="31">
      <totalsRowFormula>SUM(OfficeForms.Table[Sharon ate 3/12 of a chocolate block and Franco ate 5/12 of the same block. What fraction did they eat combined?])</totalsRowFormula>
      <extLst>
        <ext xmlns:xlmsforms="http://schemas.microsoft.com/office/spreadsheetml/2023/msForms" uri="{FCC71383-01E1-4257-9335-427F07BE8D7F}">
          <xlmsforms:question id="rd2227a460f2248bdbb990edce0f30c35"/>
        </ext>
      </extLst>
    </tableColumn>
    <tableColumn id="64" xr3:uid="{00000000-0010-0000-0000-000040000000}" name="Points - Sharon ate 3/12 of a chocolate block and Franco ate 5/12 of the same block. What fraction did they eat combined?" totalsRowFunction="custom" dataDxfId="152" totalsRowDxfId="82">
      <totalsRowFormula>SUM(OfficeForms.Table[Points - Sharon ate 3/12 of a chocolate block and Franco ate 5/12 of the same block. What fraction did they eat combined?])</totalsRowFormula>
      <extLst>
        <ext xmlns:xlmsforms="http://schemas.microsoft.com/office/spreadsheetml/2023/msForms" uri="{FCC71383-01E1-4257-9335-427F07BE8D7F}">
          <xlmsforms:question id="rd2227a460f2248bdbb990edce0f30c35-Score"/>
        </ext>
      </extLst>
    </tableColumn>
    <tableColumn id="65" xr3:uid="{00000000-0010-0000-0000-000041000000}" name="Feedback - Sharon ate 3/12 of a chocolate block and Franco ate 5/12 of the same block. What fraction did they eat combined?" totalsRowFunction="custom" dataDxfId="151" totalsRowDxfId="30">
      <totalsRowFormula>SUM(OfficeForms.Table[Feedback - Sharon ate 3/12 of a chocolate block and Franco ate 5/12 of the same block. What fraction did they eat combined?])</totalsRowFormula>
      <extLst>
        <ext xmlns:xlmsforms="http://schemas.microsoft.com/office/spreadsheetml/2023/msForms" uri="{FCC71383-01E1-4257-9335-427F07BE8D7F}">
          <xlmsforms:question id="rd2227a460f2248bdbb990edce0f30c35-Comment"/>
        </ext>
      </extLst>
    </tableColumn>
    <tableColumn id="66" xr3:uid="{00000000-0010-0000-0000-000042000000}" name="Ron had 10/10 of a block of poster paper. He used 4/10 for a poster and 3/10 for a card. What fraction of the paper block remains?" totalsRowFunction="custom" dataDxfId="150" totalsRowDxfId="29">
      <totalsRowFormula>SUM(OfficeForms.Table[Ron had 10/10 of a block of poster paper. He used 4/10 for a poster and 3/10 for a card. What fraction of the paper block remains?])</totalsRowFormula>
      <extLst>
        <ext xmlns:xlmsforms="http://schemas.microsoft.com/office/spreadsheetml/2023/msForms" uri="{FCC71383-01E1-4257-9335-427F07BE8D7F}">
          <xlmsforms:question id="rf9f8bf80baab4b9c9d7295aaddc1d0e3"/>
        </ext>
      </extLst>
    </tableColumn>
    <tableColumn id="67" xr3:uid="{00000000-0010-0000-0000-000043000000}" name="Points - Ron had 10/10 of a block of poster paper. He used 4/10 for a poster and 3/10 for a card. What fraction of the paper block remains?" totalsRowFunction="custom" dataDxfId="149" totalsRowDxfId="81">
      <totalsRowFormula>SUM(OfficeForms.Table[Points - Ron had 10/10 of a block of poster paper. He used 4/10 for a poster and 3/10 for a card. What fraction of the paper block remains?])</totalsRowFormula>
      <extLst>
        <ext xmlns:xlmsforms="http://schemas.microsoft.com/office/spreadsheetml/2023/msForms" uri="{FCC71383-01E1-4257-9335-427F07BE8D7F}">
          <xlmsforms:question id="rf9f8bf80baab4b9c9d7295aaddc1d0e3-Score"/>
        </ext>
      </extLst>
    </tableColumn>
    <tableColumn id="68" xr3:uid="{00000000-0010-0000-0000-000044000000}" name="Feedback - Ron had 10/10 of a block of poster paper. He used 4/10 for a poster and 3/10 for a card. What fraction of the paper block remains?" totalsRowFunction="custom" dataDxfId="148" totalsRowDxfId="28">
      <totalsRowFormula>SUM(OfficeForms.Table[Feedback - Ron had 10/10 of a block of poster paper. He used 4/10 for a poster and 3/10 for a card. What fraction of the paper block remains?])</totalsRowFormula>
      <extLst>
        <ext xmlns:xlmsforms="http://schemas.microsoft.com/office/spreadsheetml/2023/msForms" uri="{FCC71383-01E1-4257-9335-427F07BE8D7F}">
          <xlmsforms:question id="rf9f8bf80baab4b9c9d7295aaddc1d0e3-Comment"/>
        </ext>
      </extLst>
    </tableColumn>
    <tableColumn id="69" xr3:uid="{00000000-0010-0000-0000-000045000000}" name="Evaluate the expression: 9/12 - 2/12 - 3/12." totalsRowFunction="custom" dataDxfId="147" totalsRowDxfId="27">
      <totalsRowFormula>SUM(OfficeForms.Table[Evaluate the expression: 9/12 - 2/12 - 3/12.])</totalsRowFormula>
      <extLst>
        <ext xmlns:xlmsforms="http://schemas.microsoft.com/office/spreadsheetml/2023/msForms" uri="{FCC71383-01E1-4257-9335-427F07BE8D7F}">
          <xlmsforms:question id="r5dedeef73d37418f8b069b4059d84d1c"/>
        </ext>
      </extLst>
    </tableColumn>
    <tableColumn id="70" xr3:uid="{00000000-0010-0000-0000-000046000000}" name="Points - Evaluate the expression: 9/12 - 2/12 - 3/12." totalsRowFunction="custom" dataDxfId="146" totalsRowDxfId="80">
      <totalsRowFormula>SUM(OfficeForms.Table[Points - Evaluate the expression: 9/12 - 2/12 - 3/12.])</totalsRowFormula>
      <extLst>
        <ext xmlns:xlmsforms="http://schemas.microsoft.com/office/spreadsheetml/2023/msForms" uri="{FCC71383-01E1-4257-9335-427F07BE8D7F}">
          <xlmsforms:question id="r5dedeef73d37418f8b069b4059d84d1c-Score"/>
        </ext>
      </extLst>
    </tableColumn>
    <tableColumn id="71" xr3:uid="{00000000-0010-0000-0000-000047000000}" name="Feedback - Evaluate the expression: 9/12 - 2/12 - 3/12." totalsRowFunction="custom" dataDxfId="145" totalsRowDxfId="26">
      <totalsRowFormula>SUM(OfficeForms.Table[Feedback - Evaluate the expression: 9/12 - 2/12 - 3/12.])</totalsRowFormula>
      <extLst>
        <ext xmlns:xlmsforms="http://schemas.microsoft.com/office/spreadsheetml/2023/msForms" uri="{FCC71383-01E1-4257-9335-427F07BE8D7F}">
          <xlmsforms:question id="r5dedeef73d37418f8b069b4059d84d1c-Comment"/>
        </ext>
      </extLst>
    </tableColumn>
    <tableColumn id="72" xr3:uid="{00000000-0010-0000-0000-000048000000}" name="A rectangular strip is split into 3 vertical columns with 2 columns shaded (2/3). If a horizontal cut doubles the number of rows to 2, what fraction of the grid is now shaded?" totalsRowFunction="custom" dataDxfId="144" totalsRowDxfId="25">
      <totalsRowFormula>SUM(OfficeForms.Table[A rectangular strip is split into 3 vertical columns with 2 columns shaded (2/3). If a horizontal cut doubles the number of rows to 2, what fraction of the grid is now shaded?])</totalsRowFormula>
      <extLst>
        <ext xmlns:xlmsforms="http://schemas.microsoft.com/office/spreadsheetml/2023/msForms" uri="{FCC71383-01E1-4257-9335-427F07BE8D7F}">
          <xlmsforms:question id="r8fead2e37b2242ee8afe85eb70b5bd1e"/>
        </ext>
      </extLst>
    </tableColumn>
    <tableColumn id="73" xr3:uid="{00000000-0010-0000-0000-000049000000}" name="Points - A rectangular strip is split into 3 vertical columns with 2 columns shaded (2/3). If a horizontal cut doubles the number of rows to 2, what fraction of the grid is now shaded?" totalsRowFunction="custom" dataDxfId="143" totalsRowDxfId="79">
      <totalsRowFormula>SUM(OfficeForms.Table[Points - A rectangular strip is split into 3 vertical columns with 2 columns shaded (2/3). If a horizontal cut doubles the number of rows to 2, what fraction of the grid is now shaded?])</totalsRowFormula>
      <extLst>
        <ext xmlns:xlmsforms="http://schemas.microsoft.com/office/spreadsheetml/2023/msForms" uri="{FCC71383-01E1-4257-9335-427F07BE8D7F}">
          <xlmsforms:question id="r8fead2e37b2242ee8afe85eb70b5bd1e-Score"/>
        </ext>
      </extLst>
    </tableColumn>
    <tableColumn id="74" xr3:uid="{00000000-0010-0000-0000-00004A000000}" name="Feedback - A rectangular strip is split into 3 vertical columns with 2 columns shaded (2/3). If a horizontal cut doubles the number of rows to 2, what fraction of the grid is now shaded?" totalsRowFunction="custom" dataDxfId="142" totalsRowDxfId="24">
      <totalsRowFormula>SUM(OfficeForms.Table[Feedback - A rectangular strip is split into 3 vertical columns with 2 columns shaded (2/3). If a horizontal cut doubles the number of rows to 2, what fraction of the grid is now shaded?])</totalsRowFormula>
      <extLst>
        <ext xmlns:xlmsforms="http://schemas.microsoft.com/office/spreadsheetml/2023/msForms" uri="{FCC71383-01E1-4257-9335-427F07BE8D7F}">
          <xlmsforms:question id="r8fead2e37b2242ee8afe85eb70b5bd1e-Comment"/>
        </ext>
      </extLst>
    </tableColumn>
    <tableColumn id="75" xr3:uid="{00000000-0010-0000-0000-00004B000000}" name="On aligned equal-length number lines, which fraction aligns directly below 1/3?" totalsRowFunction="custom" dataDxfId="141" totalsRowDxfId="23">
      <totalsRowFormula>SUM(OfficeForms.Table[On aligned equal-length number lines, which fraction aligns directly below 1/3?])</totalsRowFormula>
      <extLst>
        <ext xmlns:xlmsforms="http://schemas.microsoft.com/office/spreadsheetml/2023/msForms" uri="{FCC71383-01E1-4257-9335-427F07BE8D7F}">
          <xlmsforms:question id="r3a60f1be658d4eaca751bf417fbc20da"/>
        </ext>
      </extLst>
    </tableColumn>
    <tableColumn id="76" xr3:uid="{00000000-0010-0000-0000-00004C000000}" name="Points - On aligned equal-length number lines, which fraction aligns directly below 1/3?" totalsRowFunction="custom" dataDxfId="140" totalsRowDxfId="78">
      <totalsRowFormula>SUM(OfficeForms.Table[Points - On aligned equal-length number lines, which fraction aligns directly below 1/3?])</totalsRowFormula>
      <extLst>
        <ext xmlns:xlmsforms="http://schemas.microsoft.com/office/spreadsheetml/2023/msForms" uri="{FCC71383-01E1-4257-9335-427F07BE8D7F}">
          <xlmsforms:question id="r3a60f1be658d4eaca751bf417fbc20da-Score"/>
        </ext>
      </extLst>
    </tableColumn>
    <tableColumn id="77" xr3:uid="{00000000-0010-0000-0000-00004D000000}" name="Feedback - On aligned equal-length number lines, which fraction aligns directly below 1/3?" totalsRowFunction="custom" dataDxfId="139" totalsRowDxfId="22">
      <totalsRowFormula>SUM(OfficeForms.Table[Feedback - On aligned equal-length number lines, which fraction aligns directly below 1/3?])</totalsRowFormula>
      <extLst>
        <ext xmlns:xlmsforms="http://schemas.microsoft.com/office/spreadsheetml/2023/msForms" uri="{FCC71383-01E1-4257-9335-427F07BE8D7F}">
          <xlmsforms:question id="r3a60f1be658d4eaca751bf417fbc20da-Comment"/>
        </ext>
      </extLst>
    </tableColumn>
    <tableColumn id="78" xr3:uid="{00000000-0010-0000-0000-00004E000000}" name="According to the Multiplication Golden Rule, what multiplier must be used on both top and bottom to convert 3/5 into 9/15?" totalsRowFunction="custom" dataDxfId="138" totalsRowDxfId="21">
      <totalsRowFormula>SUM(OfficeForms.Table[According to the Multiplication Golden Rule, what multiplier must be used on both top and bottom to convert 3/5 into 9/15?])</totalsRowFormula>
      <extLst>
        <ext xmlns:xlmsforms="http://schemas.microsoft.com/office/spreadsheetml/2023/msForms" uri="{FCC71383-01E1-4257-9335-427F07BE8D7F}">
          <xlmsforms:question id="rfaf3506649844633b69fa9b10023d0c2"/>
        </ext>
      </extLst>
    </tableColumn>
    <tableColumn id="79" xr3:uid="{00000000-0010-0000-0000-00004F000000}" name="Points - According to the Multiplication Golden Rule, what multiplier must be used on both top and bottom to convert 3/5 into 9/15?" totalsRowFunction="custom" dataDxfId="137" totalsRowDxfId="77">
      <totalsRowFormula>SUM(OfficeForms.Table[Points - According to the Multiplication Golden Rule, what multiplier must be used on both top and bottom to convert 3/5 into 9/15?])</totalsRowFormula>
      <extLst>
        <ext xmlns:xlmsforms="http://schemas.microsoft.com/office/spreadsheetml/2023/msForms" uri="{FCC71383-01E1-4257-9335-427F07BE8D7F}">
          <xlmsforms:question id="rfaf3506649844633b69fa9b10023d0c2-Score"/>
        </ext>
      </extLst>
    </tableColumn>
    <tableColumn id="80" xr3:uid="{00000000-0010-0000-0000-000050000000}" name="Feedback - According to the Multiplication Golden Rule, what multiplier must be used on both top and bottom to convert 3/5 into 9/15?" totalsRowFunction="custom" dataDxfId="136" totalsRowDxfId="20">
      <totalsRowFormula>SUM(OfficeForms.Table[Feedback - According to the Multiplication Golden Rule, what multiplier must be used on both top and bottom to convert 3/5 into 9/15?])</totalsRowFormula>
      <extLst>
        <ext xmlns:xlmsforms="http://schemas.microsoft.com/office/spreadsheetml/2023/msForms" uri="{FCC71383-01E1-4257-9335-427F07BE8D7F}">
          <xlmsforms:question id="rfaf3506649844633b69fa9b10023d0c2-Comment"/>
        </ext>
      </extLst>
    </tableColumn>
    <tableColumn id="81" xr3:uid="{00000000-0010-0000-0000-000051000000}" name="Find the missing numerator in this equivalent fraction chain: 1/4 = 2/8 = ?/12 = 4/16." totalsRowFunction="custom" dataDxfId="135" totalsRowDxfId="19">
      <totalsRowFormula>SUM(OfficeForms.Table[Find the missing numerator in this equivalent fraction chain: 1/4 = 2/8 = ?/12 = 4/16.])</totalsRowFormula>
      <extLst>
        <ext xmlns:xlmsforms="http://schemas.microsoft.com/office/spreadsheetml/2023/msForms" uri="{FCC71383-01E1-4257-9335-427F07BE8D7F}">
          <xlmsforms:question id="rd40ecc149b244569ae95a29640b76e15"/>
        </ext>
      </extLst>
    </tableColumn>
    <tableColumn id="82" xr3:uid="{00000000-0010-0000-0000-000052000000}" name="Points - Find the missing numerator in this equivalent fraction chain: 1/4 = 2/8 = ?/12 = 4/16." totalsRowFunction="custom" dataDxfId="134" totalsRowDxfId="76">
      <totalsRowFormula>SUM(OfficeForms.Table[Points - Find the missing numerator in this equivalent fraction chain: 1/4 = 2/8 = ?/12 = 4/16.])</totalsRowFormula>
      <extLst>
        <ext xmlns:xlmsforms="http://schemas.microsoft.com/office/spreadsheetml/2023/msForms" uri="{FCC71383-01E1-4257-9335-427F07BE8D7F}">
          <xlmsforms:question id="rd40ecc149b244569ae95a29640b76e15-Score"/>
        </ext>
      </extLst>
    </tableColumn>
    <tableColumn id="83" xr3:uid="{00000000-0010-0000-0000-000053000000}" name="Feedback - Find the missing numerator in this equivalent fraction chain: 1/4 = 2/8 = ?/12 = 4/16." totalsRowFunction="custom" dataDxfId="133" totalsRowDxfId="18">
      <totalsRowFormula>SUM(OfficeForms.Table[Feedback - Find the missing numerator in this equivalent fraction chain: 1/4 = 2/8 = ?/12 = 4/16.])</totalsRowFormula>
      <extLst>
        <ext xmlns:xlmsforms="http://schemas.microsoft.com/office/spreadsheetml/2023/msForms" uri="{FCC71383-01E1-4257-9335-427F07BE8D7F}">
          <xlmsforms:question id="rd40ecc149b244569ae95a29640b76e15-Comment"/>
        </ext>
      </extLst>
    </tableColumn>
    <tableColumn id="84" xr3:uid="{00000000-0010-0000-0000-000054000000}" name="Which fraction is equivalent to 8/12 when simplified by dividing the numerator and denominator by 4?" totalsRowFunction="custom" dataDxfId="132" totalsRowDxfId="17">
      <totalsRowFormula>SUM(OfficeForms.Table[Which fraction is equivalent to 8/12 when simplified by dividing the numerator and denominator by 4?])</totalsRowFormula>
      <extLst>
        <ext xmlns:xlmsforms="http://schemas.microsoft.com/office/spreadsheetml/2023/msForms" uri="{FCC71383-01E1-4257-9335-427F07BE8D7F}">
          <xlmsforms:question id="r5dd28aff0d094b359cb6c75056fd5a54"/>
        </ext>
      </extLst>
    </tableColumn>
    <tableColumn id="85" xr3:uid="{00000000-0010-0000-0000-000055000000}" name="Points - Which fraction is equivalent to 8/12 when simplified by dividing the numerator and denominator by 4?" totalsRowFunction="custom" dataDxfId="131" totalsRowDxfId="75">
      <totalsRowFormula>SUM(OfficeForms.Table[Points - Which fraction is equivalent to 8/12 when simplified by dividing the numerator and denominator by 4?])</totalsRowFormula>
      <extLst>
        <ext xmlns:xlmsforms="http://schemas.microsoft.com/office/spreadsheetml/2023/msForms" uri="{FCC71383-01E1-4257-9335-427F07BE8D7F}">
          <xlmsforms:question id="r5dd28aff0d094b359cb6c75056fd5a54-Score"/>
        </ext>
      </extLst>
    </tableColumn>
    <tableColumn id="86" xr3:uid="{00000000-0010-0000-0000-000056000000}" name="Feedback - Which fraction is equivalent to 8/12 when simplified by dividing the numerator and denominator by 4?" totalsRowFunction="custom" dataDxfId="130" totalsRowDxfId="16">
      <totalsRowFormula>SUM(OfficeForms.Table[Feedback - Which fraction is equivalent to 8/12 when simplified by dividing the numerator and denominator by 4?])</totalsRowFormula>
      <extLst>
        <ext xmlns:xlmsforms="http://schemas.microsoft.com/office/spreadsheetml/2023/msForms" uri="{FCC71383-01E1-4257-9335-427F07BE8D7F}">
          <xlmsforms:question id="r5dd28aff0d094b359cb6c75056fd5a54-Comment"/>
        </ext>
      </extLst>
    </tableColumn>
    <tableColumn id="87" xr3:uid="{00000000-0010-0000-0000-000057000000}" name="Sam claims that 1/3 is equivalent to 2/4 because he added 1 to both top and bottom. Why is Sam incorrect?" totalsRowFunction="custom" dataDxfId="129" totalsRowDxfId="15">
      <totalsRowFormula>SUM(OfficeForms.Table[Sam claims that 1/3 is equivalent to 2/4 because he added 1 to both top and bottom. Why is Sam incorrect?])</totalsRowFormula>
      <extLst>
        <ext xmlns:xlmsforms="http://schemas.microsoft.com/office/spreadsheetml/2023/msForms" uri="{FCC71383-01E1-4257-9335-427F07BE8D7F}">
          <xlmsforms:question id="r48506ab8c48e4aac8ad483bcf6059e78"/>
        </ext>
      </extLst>
    </tableColumn>
    <tableColumn id="88" xr3:uid="{00000000-0010-0000-0000-000058000000}" name="Points - Sam claims that 1/3 is equivalent to 2/4 because he added 1 to both top and bottom. Why is Sam incorrect?" totalsRowFunction="custom" dataDxfId="128" totalsRowDxfId="74">
      <totalsRowFormula>SUM(OfficeForms.Table[Points - Sam claims that 1/3 is equivalent to 2/4 because he added 1 to both top and bottom. Why is Sam incorrect?])</totalsRowFormula>
      <extLst>
        <ext xmlns:xlmsforms="http://schemas.microsoft.com/office/spreadsheetml/2023/msForms" uri="{FCC71383-01E1-4257-9335-427F07BE8D7F}">
          <xlmsforms:question id="r48506ab8c48e4aac8ad483bcf6059e78-Score"/>
        </ext>
      </extLst>
    </tableColumn>
    <tableColumn id="89" xr3:uid="{00000000-0010-0000-0000-000059000000}" name="Feedback - Sam claims that 1/3 is equivalent to 2/4 because he added 1 to both top and bottom. Why is Sam incorrect?" totalsRowFunction="custom" dataDxfId="127" totalsRowDxfId="14">
      <totalsRowFormula>SUM(OfficeForms.Table[Feedback - Sam claims that 1/3 is equivalent to 2/4 because he added 1 to both top and bottom. Why is Sam incorrect?])</totalsRowFormula>
      <extLst>
        <ext xmlns:xlmsforms="http://schemas.microsoft.com/office/spreadsheetml/2023/msForms" uri="{FCC71383-01E1-4257-9335-427F07BE8D7F}">
          <xlmsforms:question id="r48506ab8c48e4aac8ad483bcf6059e78-Comment"/>
        </ext>
      </extLst>
    </tableColumn>
    <tableColumn id="90" xr3:uid="{00000000-0010-0000-0000-00005A000000}" name="Which list places the fractions in correct order from smallest to largest?" totalsRowFunction="custom" dataDxfId="126" totalsRowDxfId="13">
      <totalsRowFormula>SUM(OfficeForms.Table[Which list places the fractions in correct order from smallest to largest?])</totalsRowFormula>
      <extLst>
        <ext xmlns:xlmsforms="http://schemas.microsoft.com/office/spreadsheetml/2023/msForms" uri="{FCC71383-01E1-4257-9335-427F07BE8D7F}">
          <xlmsforms:question id="r49a191677e3e4634a59fa591652d1e7a"/>
        </ext>
      </extLst>
    </tableColumn>
    <tableColumn id="91" xr3:uid="{00000000-0010-0000-0000-00005B000000}" name="Points - Which list places the fractions in correct order from smallest to largest?" totalsRowFunction="custom" dataDxfId="125" totalsRowDxfId="73">
      <totalsRowFormula>SUM(OfficeForms.Table[Points - Which list places the fractions in correct order from smallest to largest?])</totalsRowFormula>
      <extLst>
        <ext xmlns:xlmsforms="http://schemas.microsoft.com/office/spreadsheetml/2023/msForms" uri="{FCC71383-01E1-4257-9335-427F07BE8D7F}">
          <xlmsforms:question id="r49a191677e3e4634a59fa591652d1e7a-Score"/>
        </ext>
      </extLst>
    </tableColumn>
    <tableColumn id="92" xr3:uid="{00000000-0010-0000-0000-00005C000000}" name="Feedback - Which list places the fractions in correct order from smallest to largest?" totalsRowFunction="custom" dataDxfId="124" totalsRowDxfId="12">
      <totalsRowFormula>SUM(OfficeForms.Table[Feedback - Which list places the fractions in correct order from smallest to largest?])</totalsRowFormula>
      <extLst>
        <ext xmlns:xlmsforms="http://schemas.microsoft.com/office/spreadsheetml/2023/msForms" uri="{FCC71383-01E1-4257-9335-427F07BE8D7F}">
          <xlmsforms:question id="r49a191677e3e4634a59fa591652d1e7a-Comment"/>
        </ext>
      </extLst>
    </tableColumn>
    <tableColumn id="93" xr3:uid="{00000000-0010-0000-0000-00005D000000}" name="Calculate 4 - 1/5." totalsRowFunction="custom" dataDxfId="123" totalsRowDxfId="11">
      <totalsRowFormula>SUM(OfficeForms.Table[Calculate 4 - 1/5.])</totalsRowFormula>
      <extLst>
        <ext xmlns:xlmsforms="http://schemas.microsoft.com/office/spreadsheetml/2023/msForms" uri="{FCC71383-01E1-4257-9335-427F07BE8D7F}">
          <xlmsforms:question id="r070eb5ddd1ba4d26abc4c094ab125202"/>
        </ext>
      </extLst>
    </tableColumn>
    <tableColumn id="94" xr3:uid="{00000000-0010-0000-0000-00005E000000}" name="Points - Calculate 4 - 1/5." totalsRowFunction="custom" dataDxfId="122" totalsRowDxfId="72">
      <totalsRowFormula>SUM(OfficeForms.Table[Points - Calculate 4 - 1/5.])</totalsRowFormula>
      <extLst>
        <ext xmlns:xlmsforms="http://schemas.microsoft.com/office/spreadsheetml/2023/msForms" uri="{FCC71383-01E1-4257-9335-427F07BE8D7F}">
          <xlmsforms:question id="r070eb5ddd1ba4d26abc4c094ab125202-Score"/>
        </ext>
      </extLst>
    </tableColumn>
    <tableColumn id="95" xr3:uid="{00000000-0010-0000-0000-00005F000000}" name="Feedback - Calculate 4 - 1/5." totalsRowFunction="custom" dataDxfId="121" totalsRowDxfId="10">
      <totalsRowFormula>SUM(OfficeForms.Table[Feedback - Calculate 4 - 1/5.])</totalsRowFormula>
      <extLst>
        <ext xmlns:xlmsforms="http://schemas.microsoft.com/office/spreadsheetml/2023/msForms" uri="{FCC71383-01E1-4257-9335-427F07BE8D7F}">
          <xlmsforms:question id="r070eb5ddd1ba4d26abc4c094ab125202-Comment"/>
        </ext>
      </extLst>
    </tableColumn>
    <tableColumn id="96" xr3:uid="{00000000-0010-0000-0000-000060000000}" name="What is 1 7/10 + 3/10?" totalsRowFunction="custom" dataDxfId="120" totalsRowDxfId="9">
      <totalsRowFormula>SUM(OfficeForms.Table[What is 1 7/10 + 3/10?])</totalsRowFormula>
      <extLst>
        <ext xmlns:xlmsforms="http://schemas.microsoft.com/office/spreadsheetml/2023/msForms" uri="{FCC71383-01E1-4257-9335-427F07BE8D7F}">
          <xlmsforms:question id="r692ea7251b974cad88596b4942c9e834"/>
        </ext>
      </extLst>
    </tableColumn>
    <tableColumn id="97" xr3:uid="{00000000-0010-0000-0000-000061000000}" name="Points - What is 1 7/10 + 3/10?" totalsRowFunction="custom" dataDxfId="119" totalsRowDxfId="71">
      <totalsRowFormula>SUM(OfficeForms.Table[Points - What is 1 7/10 + 3/10?])</totalsRowFormula>
      <extLst>
        <ext xmlns:xlmsforms="http://schemas.microsoft.com/office/spreadsheetml/2023/msForms" uri="{FCC71383-01E1-4257-9335-427F07BE8D7F}">
          <xlmsforms:question id="r692ea7251b974cad88596b4942c9e834-Score"/>
        </ext>
      </extLst>
    </tableColumn>
    <tableColumn id="98" xr3:uid="{00000000-0010-0000-0000-000062000000}" name="Feedback - What is 1 7/10 + 3/10?" totalsRowFunction="custom" dataDxfId="118" totalsRowDxfId="8">
      <totalsRowFormula>SUM(OfficeForms.Table[Feedback - What is 1 7/10 + 3/10?])</totalsRowFormula>
      <extLst>
        <ext xmlns:xlmsforms="http://schemas.microsoft.com/office/spreadsheetml/2023/msForms" uri="{FCC71383-01E1-4257-9335-427F07BE8D7F}">
          <xlmsforms:question id="r692ea7251b974cad88596b4942c9e834-Comment"/>
        </ext>
      </extLst>
    </tableColumn>
    <tableColumn id="99" xr3:uid="{00000000-0010-0000-0000-000063000000}" name="Calculate 1/4 + 3/8 by first converting 1/4 into eighths." totalsRowFunction="custom" dataDxfId="117" totalsRowDxfId="7">
      <totalsRowFormula>SUM(OfficeForms.Table[Calculate 1/4 + 3/8 by first converting 1/4 into eighths.])</totalsRowFormula>
      <extLst>
        <ext xmlns:xlmsforms="http://schemas.microsoft.com/office/spreadsheetml/2023/msForms" uri="{FCC71383-01E1-4257-9335-427F07BE8D7F}">
          <xlmsforms:question id="r6c15d6ea00f94e5f9f839f9dbe3bc556"/>
        </ext>
      </extLst>
    </tableColumn>
    <tableColumn id="100" xr3:uid="{00000000-0010-0000-0000-000064000000}" name="Points - Calculate 1/4 + 3/8 by first converting 1/4 into eighths." totalsRowFunction="custom" dataDxfId="116" totalsRowDxfId="70">
      <totalsRowFormula>SUM(OfficeForms.Table[Points - Calculate 1/4 + 3/8 by first converting 1/4 into eighths.])</totalsRowFormula>
      <extLst>
        <ext xmlns:xlmsforms="http://schemas.microsoft.com/office/spreadsheetml/2023/msForms" uri="{FCC71383-01E1-4257-9335-427F07BE8D7F}">
          <xlmsforms:question id="r6c15d6ea00f94e5f9f839f9dbe3bc556-Score"/>
        </ext>
      </extLst>
    </tableColumn>
    <tableColumn id="101" xr3:uid="{00000000-0010-0000-0000-000065000000}" name="Feedback - Calculate 1/4 + 3/8 by first converting 1/4 into eighths." totalsRowFunction="custom" dataDxfId="115" totalsRowDxfId="6">
      <totalsRowFormula>SUM(OfficeForms.Table[Feedback - Calculate 1/4 + 3/8 by first converting 1/4 into eighths.])</totalsRowFormula>
      <extLst>
        <ext xmlns:xlmsforms="http://schemas.microsoft.com/office/spreadsheetml/2023/msForms" uri="{FCC71383-01E1-4257-9335-427F07BE8D7F}">
          <xlmsforms:question id="r6c15d6ea00f94e5f9f839f9dbe3bc556-Comment"/>
        </ext>
      </extLst>
    </tableColumn>
    <tableColumn id="102" xr3:uid="{00000000-0010-0000-0000-000066000000}" name="Calculate 5/8 - 1/4 by converting 1/4 into eighths." totalsRowFunction="custom" dataDxfId="114" totalsRowDxfId="5">
      <totalsRowFormula>SUM(OfficeForms.Table[Calculate 5/8 - 1/4 by converting 1/4 into eighths.])</totalsRowFormula>
      <extLst>
        <ext xmlns:xlmsforms="http://schemas.microsoft.com/office/spreadsheetml/2023/msForms" uri="{FCC71383-01E1-4257-9335-427F07BE8D7F}">
          <xlmsforms:question id="rca314e67ad6b47ba846c63e6fae10330"/>
        </ext>
      </extLst>
    </tableColumn>
    <tableColumn id="103" xr3:uid="{00000000-0010-0000-0000-000067000000}" name="Points - Calculate 5/8 - 1/4 by converting 1/4 into eighths." totalsRowFunction="custom" dataDxfId="113" totalsRowDxfId="69">
      <totalsRowFormula>SUM(OfficeForms.Table[Points - Calculate 5/8 - 1/4 by converting 1/4 into eighths.])</totalsRowFormula>
      <extLst>
        <ext xmlns:xlmsforms="http://schemas.microsoft.com/office/spreadsheetml/2023/msForms" uri="{FCC71383-01E1-4257-9335-427F07BE8D7F}">
          <xlmsforms:question id="rca314e67ad6b47ba846c63e6fae10330-Score"/>
        </ext>
      </extLst>
    </tableColumn>
    <tableColumn id="104" xr3:uid="{00000000-0010-0000-0000-000068000000}" name="Feedback - Calculate 5/8 - 1/4 by converting 1/4 into eighths." totalsRowFunction="custom" dataDxfId="112" totalsRowDxfId="4">
      <totalsRowFormula>SUM(OfficeForms.Table[Feedback - Calculate 5/8 - 1/4 by converting 1/4 into eighths.])</totalsRowFormula>
      <extLst>
        <ext xmlns:xlmsforms="http://schemas.microsoft.com/office/spreadsheetml/2023/msForms" uri="{FCC71383-01E1-4257-9335-427F07BE8D7F}">
          <xlmsforms:question id="rca314e67ad6b47ba846c63e6fae10330-Comment"/>
        </ext>
      </extLst>
    </tableColumn>
    <tableColumn id="105" xr3:uid="{00000000-0010-0000-0000-000069000000}" name="Calculate 3/5 + 3/10 by converting 3/5 into tenths." totalsRowFunction="custom" dataDxfId="111" totalsRowDxfId="3">
      <totalsRowFormula>SUM(OfficeForms.Table[Calculate 3/5 + 3/10 by converting 3/5 into tenths.])</totalsRowFormula>
      <extLst>
        <ext xmlns:xlmsforms="http://schemas.microsoft.com/office/spreadsheetml/2023/msForms" uri="{FCC71383-01E1-4257-9335-427F07BE8D7F}">
          <xlmsforms:question id="re9976ce3868d42c680931fa31ff5b9aa"/>
        </ext>
      </extLst>
    </tableColumn>
    <tableColumn id="106" xr3:uid="{00000000-0010-0000-0000-00006A000000}" name="Points - Calculate 3/5 + 3/10 by converting 3/5 into tenths." totalsRowFunction="custom" dataDxfId="110" totalsRowDxfId="68">
      <totalsRowFormula>SUM(OfficeForms.Table[Points - Calculate 3/5 + 3/10 by converting 3/5 into tenths.])</totalsRowFormula>
      <extLst>
        <ext xmlns:xlmsforms="http://schemas.microsoft.com/office/spreadsheetml/2023/msForms" uri="{FCC71383-01E1-4257-9335-427F07BE8D7F}">
          <xlmsforms:question id="re9976ce3868d42c680931fa31ff5b9aa-Score"/>
        </ext>
      </extLst>
    </tableColumn>
    <tableColumn id="107" xr3:uid="{00000000-0010-0000-0000-00006B000000}" name="Feedback - Calculate 3/5 + 3/10 by converting 3/5 into tenths." totalsRowFunction="custom" dataDxfId="109" totalsRowDxfId="2">
      <totalsRowFormula>SUM(OfficeForms.Table[Feedback - Calculate 3/5 + 3/10 by converting 3/5 into tenths.])</totalsRowFormula>
      <extLst>
        <ext xmlns:xlmsforms="http://schemas.microsoft.com/office/spreadsheetml/2023/msForms" uri="{FCC71383-01E1-4257-9335-427F07BE8D7F}">
          <xlmsforms:question id="re9976ce3868d42c680931fa31ff5b9aa-Comment"/>
        </ext>
      </extLst>
    </tableColumn>
    <tableColumn id="108" xr3:uid="{00000000-0010-0000-0000-00006C000000}" name="A container holds 2 litres of water. If children drink 3/4 of a litre during sports, how much water remains in the container?" totalsRowFunction="custom" dataDxfId="108" totalsRowDxfId="1">
      <totalsRowFormula>SUM(OfficeForms.Table[A container holds 2 litres of water. If children drink 3/4 of a litre during sports, how much water remains in the container?])</totalsRowFormula>
      <extLst>
        <ext xmlns:xlmsforms="http://schemas.microsoft.com/office/spreadsheetml/2023/msForms" uri="{FCC71383-01E1-4257-9335-427F07BE8D7F}">
          <xlmsforms:question id="rbbb21394ce174e06a604e34eac869ef4"/>
        </ext>
      </extLst>
    </tableColumn>
    <tableColumn id="109" xr3:uid="{00000000-0010-0000-0000-00006D000000}" name="Points - A container holds 2 litres of water. If children drink 3/4 of a litre during sports, how much water remains in the container?" totalsRowFunction="custom" dataDxfId="107" totalsRowDxfId="67">
      <totalsRowFormula>SUM(OfficeForms.Table[Points - A container holds 2 litres of water. If children drink 3/4 of a litre during sports, how much water remains in the container?])</totalsRowFormula>
      <extLst>
        <ext xmlns:xlmsforms="http://schemas.microsoft.com/office/spreadsheetml/2023/msForms" uri="{FCC71383-01E1-4257-9335-427F07BE8D7F}">
          <xlmsforms:question id="rbbb21394ce174e06a604e34eac869ef4-Score"/>
        </ext>
      </extLst>
    </tableColumn>
    <tableColumn id="110" xr3:uid="{00000000-0010-0000-0000-00006E000000}" name="Feedback - A container holds 2 litres of water. If children drink 3/4 of a litre during sports, how much water remains in the container?" totalsRowFunction="custom" dataDxfId="106" totalsRowDxfId="0">
      <totalsRowFormula>SUM(OfficeForms.Table[Feedback - A container holds 2 litres of water. If children drink 3/4 of a litre during sports, how much water remains in the container?])</totalsRowFormula>
      <extLst>
        <ext xmlns:xlmsforms="http://schemas.microsoft.com/office/spreadsheetml/2023/msForms" uri="{FCC71383-01E1-4257-9335-427F07BE8D7F}">
          <xlmsforms:question id="rbbb21394ce174e06a604e34eac869ef4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xccAZrUWr0uekzI72MAduq8yh9rj2JtPrNdZiEstYmNURUdaTzJBT1BLOE5aWFFXWTI3SzBENjNBQyQlQCNjPTEu" isFormConnected="1" maxResponseId="21" latestEventMarker="1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r74a2d1a925d34b618ed3199da9270841</xlmsforms:syncedQuestionId>
        <xlmsforms:syncedQuestionId>r74a2d1a925d34b618ed3199da9270841-Score</xlmsforms:syncedQuestionId>
        <xlmsforms:syncedQuestionId>r74a2d1a925d34b618ed3199da9270841-Comment</xlmsforms:syncedQuestionId>
        <xlmsforms:syncedQuestionId>r9d1a437e38024f48a434deca5700a18a</xlmsforms:syncedQuestionId>
        <xlmsforms:syncedQuestionId>r9d1a437e38024f48a434deca5700a18a-Score</xlmsforms:syncedQuestionId>
        <xlmsforms:syncedQuestionId>r9d1a437e38024f48a434deca5700a18a-Comment</xlmsforms:syncedQuestionId>
        <xlmsforms:syncedQuestionId>rc7f5db09d20340d5817d4cdb88b0ae6e</xlmsforms:syncedQuestionId>
        <xlmsforms:syncedQuestionId>rc7f5db09d20340d5817d4cdb88b0ae6e-Score</xlmsforms:syncedQuestionId>
        <xlmsforms:syncedQuestionId>rc7f5db09d20340d5817d4cdb88b0ae6e-Comment</xlmsforms:syncedQuestionId>
        <xlmsforms:syncedQuestionId>r82d7d46275eb473bb6d7567ba656cc4e</xlmsforms:syncedQuestionId>
        <xlmsforms:syncedQuestionId>r82d7d46275eb473bb6d7567ba656cc4e-Score</xlmsforms:syncedQuestionId>
        <xlmsforms:syncedQuestionId>r82d7d46275eb473bb6d7567ba656cc4e-Comment</xlmsforms:syncedQuestionId>
        <xlmsforms:syncedQuestionId>r6ed5d78f274c4d699a446af7508bdf93</xlmsforms:syncedQuestionId>
        <xlmsforms:syncedQuestionId>r6ed5d78f274c4d699a446af7508bdf93-Score</xlmsforms:syncedQuestionId>
        <xlmsforms:syncedQuestionId>r6ed5d78f274c4d699a446af7508bdf93-Comment</xlmsforms:syncedQuestionId>
        <xlmsforms:syncedQuestionId>r0bbafd6709e141cf83c76bf649b7133a</xlmsforms:syncedQuestionId>
        <xlmsforms:syncedQuestionId>r0bbafd6709e141cf83c76bf649b7133a-Score</xlmsforms:syncedQuestionId>
        <xlmsforms:syncedQuestionId>r0bbafd6709e141cf83c76bf649b7133a-Comment</xlmsforms:syncedQuestionId>
        <xlmsforms:syncedQuestionId>rd8bde44987d545529c955a778e9786da</xlmsforms:syncedQuestionId>
        <xlmsforms:syncedQuestionId>rd8bde44987d545529c955a778e9786da-Score</xlmsforms:syncedQuestionId>
        <xlmsforms:syncedQuestionId>rd8bde44987d545529c955a778e9786da-Comment</xlmsforms:syncedQuestionId>
        <xlmsforms:syncedQuestionId>r4479c7455c0040509538b38cb905bd59</xlmsforms:syncedQuestionId>
        <xlmsforms:syncedQuestionId>r4479c7455c0040509538b38cb905bd59-Score</xlmsforms:syncedQuestionId>
        <xlmsforms:syncedQuestionId>r4479c7455c0040509538b38cb905bd59-Comment</xlmsforms:syncedQuestionId>
        <xlmsforms:syncedQuestionId>r73997f42467a49a8b186fd25e7087846</xlmsforms:syncedQuestionId>
        <xlmsforms:syncedQuestionId>r73997f42467a49a8b186fd25e7087846-Score</xlmsforms:syncedQuestionId>
        <xlmsforms:syncedQuestionId>r73997f42467a49a8b186fd25e7087846-Comment</xlmsforms:syncedQuestionId>
        <xlmsforms:syncedQuestionId>r82abb0a512b84afdb3a82248657d41a4</xlmsforms:syncedQuestionId>
        <xlmsforms:syncedQuestionId>r82abb0a512b84afdb3a82248657d41a4-Score</xlmsforms:syncedQuestionId>
        <xlmsforms:syncedQuestionId>r82abb0a512b84afdb3a82248657d41a4-Comment</xlmsforms:syncedQuestionId>
        <xlmsforms:syncedQuestionId>r00bbabba8f9142eeaf569562c3b56748</xlmsforms:syncedQuestionId>
        <xlmsforms:syncedQuestionId>r00bbabba8f9142eeaf569562c3b56748-Score</xlmsforms:syncedQuestionId>
        <xlmsforms:syncedQuestionId>r00bbabba8f9142eeaf569562c3b56748-Comment</xlmsforms:syncedQuestionId>
        <xlmsforms:syncedQuestionId>rd8d44f05fa3d4edfa02df7a945859c11</xlmsforms:syncedQuestionId>
        <xlmsforms:syncedQuestionId>rd8d44f05fa3d4edfa02df7a945859c11-Score</xlmsforms:syncedQuestionId>
        <xlmsforms:syncedQuestionId>rd8d44f05fa3d4edfa02df7a945859c11-Comment</xlmsforms:syncedQuestionId>
        <xlmsforms:syncedQuestionId>rb330ad07cd8848349092fe2fc6e00bfb</xlmsforms:syncedQuestionId>
        <xlmsforms:syncedQuestionId>rb330ad07cd8848349092fe2fc6e00bfb-Score</xlmsforms:syncedQuestionId>
        <xlmsforms:syncedQuestionId>rb330ad07cd8848349092fe2fc6e00bfb-Comment</xlmsforms:syncedQuestionId>
        <xlmsforms:syncedQuestionId>re75ec8957f8847cba7db1f215a781785</xlmsforms:syncedQuestionId>
        <xlmsforms:syncedQuestionId>re75ec8957f8847cba7db1f215a781785-Score</xlmsforms:syncedQuestionId>
        <xlmsforms:syncedQuestionId>re75ec8957f8847cba7db1f215a781785-Comment</xlmsforms:syncedQuestionId>
        <xlmsforms:syncedQuestionId>r7d8f2d520a074c94b5835707339c69a6</xlmsforms:syncedQuestionId>
        <xlmsforms:syncedQuestionId>r7d8f2d520a074c94b5835707339c69a6-Score</xlmsforms:syncedQuestionId>
        <xlmsforms:syncedQuestionId>r7d8f2d520a074c94b5835707339c69a6-Comment</xlmsforms:syncedQuestionId>
        <xlmsforms:syncedQuestionId>r6c9c8243ae3643069a81acb1f83c0aa9</xlmsforms:syncedQuestionId>
        <xlmsforms:syncedQuestionId>r6c9c8243ae3643069a81acb1f83c0aa9-Score</xlmsforms:syncedQuestionId>
        <xlmsforms:syncedQuestionId>r6c9c8243ae3643069a81acb1f83c0aa9-Comment</xlmsforms:syncedQuestionId>
        <xlmsforms:syncedQuestionId>rd9629d2b84cd4a1d9bac59ba5df9ae38</xlmsforms:syncedQuestionId>
        <xlmsforms:syncedQuestionId>rd9629d2b84cd4a1d9bac59ba5df9ae38-Score</xlmsforms:syncedQuestionId>
        <xlmsforms:syncedQuestionId>rd9629d2b84cd4a1d9bac59ba5df9ae38-Comment</xlmsforms:syncedQuestionId>
        <xlmsforms:syncedQuestionId>r7fd679bf985a44bc91b33c184cee0cc2</xlmsforms:syncedQuestionId>
        <xlmsforms:syncedQuestionId>r7fd679bf985a44bc91b33c184cee0cc2-Score</xlmsforms:syncedQuestionId>
        <xlmsforms:syncedQuestionId>r7fd679bf985a44bc91b33c184cee0cc2-Comment</xlmsforms:syncedQuestionId>
        <xlmsforms:syncedQuestionId>rd2227a460f2248bdbb990edce0f30c35</xlmsforms:syncedQuestionId>
        <xlmsforms:syncedQuestionId>rd2227a460f2248bdbb990edce0f30c35-Score</xlmsforms:syncedQuestionId>
        <xlmsforms:syncedQuestionId>rd2227a460f2248bdbb990edce0f30c35-Comment</xlmsforms:syncedQuestionId>
        <xlmsforms:syncedQuestionId>rf9f8bf80baab4b9c9d7295aaddc1d0e3</xlmsforms:syncedQuestionId>
        <xlmsforms:syncedQuestionId>rf9f8bf80baab4b9c9d7295aaddc1d0e3-Score</xlmsforms:syncedQuestionId>
        <xlmsforms:syncedQuestionId>rf9f8bf80baab4b9c9d7295aaddc1d0e3-Comment</xlmsforms:syncedQuestionId>
        <xlmsforms:syncedQuestionId>r5dedeef73d37418f8b069b4059d84d1c</xlmsforms:syncedQuestionId>
        <xlmsforms:syncedQuestionId>r5dedeef73d37418f8b069b4059d84d1c-Score</xlmsforms:syncedQuestionId>
        <xlmsforms:syncedQuestionId>r5dedeef73d37418f8b069b4059d84d1c-Comment</xlmsforms:syncedQuestionId>
        <xlmsforms:syncedQuestionId>r8fead2e37b2242ee8afe85eb70b5bd1e</xlmsforms:syncedQuestionId>
        <xlmsforms:syncedQuestionId>r8fead2e37b2242ee8afe85eb70b5bd1e-Score</xlmsforms:syncedQuestionId>
        <xlmsforms:syncedQuestionId>r8fead2e37b2242ee8afe85eb70b5bd1e-Comment</xlmsforms:syncedQuestionId>
        <xlmsforms:syncedQuestionId>r3a60f1be658d4eaca751bf417fbc20da</xlmsforms:syncedQuestionId>
        <xlmsforms:syncedQuestionId>r3a60f1be658d4eaca751bf417fbc20da-Score</xlmsforms:syncedQuestionId>
        <xlmsforms:syncedQuestionId>r3a60f1be658d4eaca751bf417fbc20da-Comment</xlmsforms:syncedQuestionId>
        <xlmsforms:syncedQuestionId>rfaf3506649844633b69fa9b10023d0c2</xlmsforms:syncedQuestionId>
        <xlmsforms:syncedQuestionId>rfaf3506649844633b69fa9b10023d0c2-Score</xlmsforms:syncedQuestionId>
        <xlmsforms:syncedQuestionId>rfaf3506649844633b69fa9b10023d0c2-Comment</xlmsforms:syncedQuestionId>
        <xlmsforms:syncedQuestionId>rd40ecc149b244569ae95a29640b76e15</xlmsforms:syncedQuestionId>
        <xlmsforms:syncedQuestionId>rd40ecc149b244569ae95a29640b76e15-Score</xlmsforms:syncedQuestionId>
        <xlmsforms:syncedQuestionId>rd40ecc149b244569ae95a29640b76e15-Comment</xlmsforms:syncedQuestionId>
        <xlmsforms:syncedQuestionId>r5dd28aff0d094b359cb6c75056fd5a54</xlmsforms:syncedQuestionId>
        <xlmsforms:syncedQuestionId>r5dd28aff0d094b359cb6c75056fd5a54-Score</xlmsforms:syncedQuestionId>
        <xlmsforms:syncedQuestionId>r5dd28aff0d094b359cb6c75056fd5a54-Comment</xlmsforms:syncedQuestionId>
        <xlmsforms:syncedQuestionId>r48506ab8c48e4aac8ad483bcf6059e78</xlmsforms:syncedQuestionId>
        <xlmsforms:syncedQuestionId>r48506ab8c48e4aac8ad483bcf6059e78-Score</xlmsforms:syncedQuestionId>
        <xlmsforms:syncedQuestionId>r48506ab8c48e4aac8ad483bcf6059e78-Comment</xlmsforms:syncedQuestionId>
        <xlmsforms:syncedQuestionId>r49a191677e3e4634a59fa591652d1e7a</xlmsforms:syncedQuestionId>
        <xlmsforms:syncedQuestionId>r49a191677e3e4634a59fa591652d1e7a-Score</xlmsforms:syncedQuestionId>
        <xlmsforms:syncedQuestionId>r49a191677e3e4634a59fa591652d1e7a-Comment</xlmsforms:syncedQuestionId>
        <xlmsforms:syncedQuestionId>r070eb5ddd1ba4d26abc4c094ab125202</xlmsforms:syncedQuestionId>
        <xlmsforms:syncedQuestionId>r070eb5ddd1ba4d26abc4c094ab125202-Score</xlmsforms:syncedQuestionId>
        <xlmsforms:syncedQuestionId>r070eb5ddd1ba4d26abc4c094ab125202-Comment</xlmsforms:syncedQuestionId>
        <xlmsforms:syncedQuestionId>r692ea7251b974cad88596b4942c9e834</xlmsforms:syncedQuestionId>
        <xlmsforms:syncedQuestionId>r692ea7251b974cad88596b4942c9e834-Score</xlmsforms:syncedQuestionId>
        <xlmsforms:syncedQuestionId>r692ea7251b974cad88596b4942c9e834-Comment</xlmsforms:syncedQuestionId>
        <xlmsforms:syncedQuestionId>r6c15d6ea00f94e5f9f839f9dbe3bc556</xlmsforms:syncedQuestionId>
        <xlmsforms:syncedQuestionId>r6c15d6ea00f94e5f9f839f9dbe3bc556-Score</xlmsforms:syncedQuestionId>
        <xlmsforms:syncedQuestionId>r6c15d6ea00f94e5f9f839f9dbe3bc556-Comment</xlmsforms:syncedQuestionId>
        <xlmsforms:syncedQuestionId>rca314e67ad6b47ba846c63e6fae10330</xlmsforms:syncedQuestionId>
        <xlmsforms:syncedQuestionId>rca314e67ad6b47ba846c63e6fae10330-Score</xlmsforms:syncedQuestionId>
        <xlmsforms:syncedQuestionId>rca314e67ad6b47ba846c63e6fae10330-Comment</xlmsforms:syncedQuestionId>
        <xlmsforms:syncedQuestionId>re9976ce3868d42c680931fa31ff5b9aa</xlmsforms:syncedQuestionId>
        <xlmsforms:syncedQuestionId>re9976ce3868d42c680931fa31ff5b9aa-Score</xlmsforms:syncedQuestionId>
        <xlmsforms:syncedQuestionId>re9976ce3868d42c680931fa31ff5b9aa-Comment</xlmsforms:syncedQuestionId>
        <xlmsforms:syncedQuestionId>rbbb21394ce174e06a604e34eac869ef4</xlmsforms:syncedQuestionId>
        <xlmsforms:syncedQuestionId>rbbb21394ce174e06a604e34eac869ef4-Score</xlmsforms:syncedQuestionId>
        <xlmsforms:syncedQuestionId>rbbb21394ce174e06a604e34eac869ef4-Comment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9"/>
  <sheetViews>
    <sheetView tabSelected="1" topLeftCell="CO1" workbookViewId="0">
      <selection activeCell="I19" sqref="I19:DE19"/>
    </sheetView>
  </sheetViews>
  <sheetFormatPr defaultRowHeight="15" x14ac:dyDescent="0.25"/>
  <cols>
    <col min="1" max="109" width="20" bestFit="1" customWidth="1"/>
  </cols>
  <sheetData>
    <row r="1" spans="1:10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ht="15" customHeight="1" x14ac:dyDescent="0.25">
      <c r="A2">
        <v>14</v>
      </c>
      <c r="B2" s="3">
        <v>46247.397731481498</v>
      </c>
      <c r="C2" s="3">
        <v>46247.4141550926</v>
      </c>
      <c r="D2" s="2" t="s">
        <v>203</v>
      </c>
      <c r="E2">
        <v>21</v>
      </c>
      <c r="F2" s="2"/>
      <c r="G2" s="3"/>
      <c r="H2" s="2" t="s">
        <v>204</v>
      </c>
      <c r="I2">
        <v>0</v>
      </c>
      <c r="J2" s="2"/>
      <c r="K2" s="4" t="s">
        <v>111</v>
      </c>
      <c r="L2">
        <v>0</v>
      </c>
      <c r="M2" s="2"/>
      <c r="N2" s="2" t="s">
        <v>170</v>
      </c>
      <c r="O2">
        <v>0</v>
      </c>
      <c r="P2" s="2"/>
      <c r="Q2" s="2" t="s">
        <v>163</v>
      </c>
      <c r="R2">
        <v>1</v>
      </c>
      <c r="S2" s="2"/>
      <c r="T2" s="2" t="s">
        <v>190</v>
      </c>
      <c r="U2">
        <v>0</v>
      </c>
      <c r="V2" s="2"/>
      <c r="W2" s="4" t="s">
        <v>205</v>
      </c>
      <c r="X2">
        <v>0</v>
      </c>
      <c r="Y2" s="2"/>
      <c r="Z2" s="2" t="s">
        <v>116</v>
      </c>
      <c r="AA2">
        <v>1</v>
      </c>
      <c r="AB2" s="2"/>
      <c r="AC2" s="2" t="s">
        <v>181</v>
      </c>
      <c r="AD2">
        <v>0</v>
      </c>
      <c r="AE2" s="2"/>
      <c r="AF2" s="2" t="s">
        <v>118</v>
      </c>
      <c r="AG2">
        <v>1</v>
      </c>
      <c r="AH2" s="2"/>
      <c r="AI2" s="2" t="s">
        <v>119</v>
      </c>
      <c r="AJ2">
        <v>1</v>
      </c>
      <c r="AK2" s="2"/>
      <c r="AL2" s="2" t="s">
        <v>120</v>
      </c>
      <c r="AM2">
        <v>1</v>
      </c>
      <c r="AN2" s="2"/>
      <c r="AO2" s="2" t="s">
        <v>121</v>
      </c>
      <c r="AP2">
        <v>1</v>
      </c>
      <c r="AQ2" s="2"/>
      <c r="AR2" s="2" t="s">
        <v>122</v>
      </c>
      <c r="AS2">
        <v>1</v>
      </c>
      <c r="AT2" s="2"/>
      <c r="AU2" s="2" t="s">
        <v>123</v>
      </c>
      <c r="AV2">
        <v>1</v>
      </c>
      <c r="AW2" s="2"/>
      <c r="AX2" s="2" t="s">
        <v>124</v>
      </c>
      <c r="AY2">
        <v>1</v>
      </c>
      <c r="AZ2" s="2"/>
      <c r="BA2" s="2" t="s">
        <v>125</v>
      </c>
      <c r="BB2">
        <v>1</v>
      </c>
      <c r="BC2" s="2"/>
      <c r="BD2" s="2" t="s">
        <v>126</v>
      </c>
      <c r="BE2">
        <v>0</v>
      </c>
      <c r="BF2" s="2"/>
      <c r="BG2" s="2" t="s">
        <v>151</v>
      </c>
      <c r="BH2">
        <v>0</v>
      </c>
      <c r="BI2" s="2"/>
      <c r="BJ2" s="2" t="s">
        <v>128</v>
      </c>
      <c r="BK2">
        <v>1</v>
      </c>
      <c r="BL2" s="2"/>
      <c r="BM2" s="2" t="s">
        <v>152</v>
      </c>
      <c r="BN2">
        <v>0</v>
      </c>
      <c r="BO2" s="2"/>
      <c r="BP2" s="2" t="s">
        <v>129</v>
      </c>
      <c r="BQ2">
        <v>1</v>
      </c>
      <c r="BR2" s="2"/>
      <c r="BS2" s="2" t="s">
        <v>130</v>
      </c>
      <c r="BT2">
        <v>1</v>
      </c>
      <c r="BU2" s="2"/>
      <c r="BV2" s="2" t="s">
        <v>131</v>
      </c>
      <c r="BW2">
        <v>1</v>
      </c>
      <c r="BX2" s="2"/>
      <c r="BY2" s="2" t="s">
        <v>132</v>
      </c>
      <c r="BZ2">
        <v>1</v>
      </c>
      <c r="CA2" s="2"/>
      <c r="CB2" s="4" t="s">
        <v>165</v>
      </c>
      <c r="CC2">
        <v>1</v>
      </c>
      <c r="CD2" s="2"/>
      <c r="CE2" s="2" t="s">
        <v>134</v>
      </c>
      <c r="CF2">
        <v>1</v>
      </c>
      <c r="CG2" s="2"/>
      <c r="CH2" s="5" t="s">
        <v>155</v>
      </c>
      <c r="CI2">
        <v>1</v>
      </c>
      <c r="CJ2" s="2"/>
      <c r="CK2" s="2" t="s">
        <v>136</v>
      </c>
      <c r="CL2">
        <v>1</v>
      </c>
      <c r="CM2" s="2"/>
      <c r="CN2" s="2" t="s">
        <v>137</v>
      </c>
      <c r="CO2">
        <v>1</v>
      </c>
      <c r="CP2" s="2"/>
      <c r="CQ2" s="4" t="s">
        <v>133</v>
      </c>
      <c r="CR2">
        <v>0</v>
      </c>
      <c r="CS2" s="2"/>
      <c r="CT2" s="2" t="s">
        <v>129</v>
      </c>
      <c r="CU2">
        <v>0</v>
      </c>
      <c r="CV2" s="2"/>
      <c r="CW2" s="2" t="s">
        <v>138</v>
      </c>
      <c r="CX2">
        <v>0</v>
      </c>
      <c r="CY2" s="2"/>
      <c r="CZ2" s="2" t="s">
        <v>206</v>
      </c>
      <c r="DA2">
        <v>0</v>
      </c>
      <c r="DB2" s="2"/>
      <c r="DC2" s="2" t="s">
        <v>141</v>
      </c>
      <c r="DD2">
        <v>1</v>
      </c>
      <c r="DE2" s="2"/>
    </row>
    <row r="3" spans="1:109" x14ac:dyDescent="0.25">
      <c r="A3">
        <v>9</v>
      </c>
      <c r="B3" s="3">
        <v>46247.398217592592</v>
      </c>
      <c r="C3" s="3">
        <v>46247.412175925929</v>
      </c>
      <c r="D3" t="s">
        <v>189</v>
      </c>
      <c r="E3">
        <v>16</v>
      </c>
      <c r="G3" s="3"/>
      <c r="H3" t="s">
        <v>110</v>
      </c>
      <c r="I3">
        <v>1</v>
      </c>
      <c r="K3" s="1" t="s">
        <v>169</v>
      </c>
      <c r="L3">
        <v>0</v>
      </c>
      <c r="N3" t="s">
        <v>162</v>
      </c>
      <c r="O3">
        <v>1</v>
      </c>
      <c r="Q3" t="s">
        <v>144</v>
      </c>
      <c r="R3">
        <v>0</v>
      </c>
      <c r="T3" t="s">
        <v>190</v>
      </c>
      <c r="U3">
        <v>0</v>
      </c>
      <c r="W3" s="1" t="s">
        <v>115</v>
      </c>
      <c r="X3">
        <v>0</v>
      </c>
      <c r="Z3" t="s">
        <v>191</v>
      </c>
      <c r="AA3">
        <v>0</v>
      </c>
      <c r="AC3" t="s">
        <v>181</v>
      </c>
      <c r="AD3">
        <v>0</v>
      </c>
      <c r="AF3" t="s">
        <v>118</v>
      </c>
      <c r="AG3">
        <v>1</v>
      </c>
      <c r="AI3" t="s">
        <v>172</v>
      </c>
      <c r="AJ3">
        <v>0</v>
      </c>
      <c r="AL3" t="s">
        <v>120</v>
      </c>
      <c r="AM3">
        <v>1</v>
      </c>
      <c r="AO3" t="s">
        <v>177</v>
      </c>
      <c r="AP3">
        <v>0</v>
      </c>
      <c r="AR3" t="s">
        <v>150</v>
      </c>
      <c r="AS3">
        <v>0</v>
      </c>
      <c r="AU3" t="s">
        <v>123</v>
      </c>
      <c r="AV3">
        <v>1</v>
      </c>
      <c r="AX3" t="s">
        <v>192</v>
      </c>
      <c r="AY3">
        <v>0</v>
      </c>
      <c r="BA3" t="s">
        <v>125</v>
      </c>
      <c r="BB3">
        <v>1</v>
      </c>
      <c r="BD3" t="s">
        <v>126</v>
      </c>
      <c r="BE3">
        <v>0</v>
      </c>
      <c r="BG3" t="s">
        <v>151</v>
      </c>
      <c r="BH3">
        <v>0</v>
      </c>
      <c r="BJ3" t="s">
        <v>128</v>
      </c>
      <c r="BK3">
        <v>1</v>
      </c>
      <c r="BM3" t="s">
        <v>152</v>
      </c>
      <c r="BN3">
        <v>0</v>
      </c>
      <c r="BP3" t="s">
        <v>129</v>
      </c>
      <c r="BQ3">
        <v>1</v>
      </c>
      <c r="BS3" t="s">
        <v>153</v>
      </c>
      <c r="BT3">
        <v>0</v>
      </c>
      <c r="BV3" t="s">
        <v>131</v>
      </c>
      <c r="BW3">
        <v>1</v>
      </c>
      <c r="BY3" t="s">
        <v>132</v>
      </c>
      <c r="BZ3">
        <v>1</v>
      </c>
      <c r="CB3" s="1" t="s">
        <v>165</v>
      </c>
      <c r="CC3">
        <v>1</v>
      </c>
      <c r="CE3" t="s">
        <v>130</v>
      </c>
      <c r="CF3">
        <v>0</v>
      </c>
      <c r="CH3" t="s">
        <v>155</v>
      </c>
      <c r="CI3">
        <v>1</v>
      </c>
      <c r="CK3" t="s">
        <v>136</v>
      </c>
      <c r="CL3">
        <v>1</v>
      </c>
      <c r="CN3" t="s">
        <v>157</v>
      </c>
      <c r="CO3">
        <v>0</v>
      </c>
      <c r="CQ3" t="s">
        <v>185</v>
      </c>
      <c r="CR3">
        <v>1</v>
      </c>
      <c r="CT3" t="s">
        <v>124</v>
      </c>
      <c r="CU3">
        <v>1</v>
      </c>
      <c r="CW3" t="s">
        <v>188</v>
      </c>
      <c r="CX3">
        <v>0</v>
      </c>
      <c r="CZ3" t="s">
        <v>140</v>
      </c>
      <c r="DA3">
        <v>0</v>
      </c>
      <c r="DC3" t="s">
        <v>141</v>
      </c>
      <c r="DD3">
        <v>1</v>
      </c>
    </row>
    <row r="4" spans="1:109" ht="20.25" customHeight="1" x14ac:dyDescent="0.25">
      <c r="A4">
        <v>16</v>
      </c>
      <c r="B4" s="3">
        <v>46247.410659722198</v>
      </c>
      <c r="C4" s="3">
        <v>46247.415046296301</v>
      </c>
      <c r="D4" s="2" t="s">
        <v>186</v>
      </c>
      <c r="E4">
        <v>32</v>
      </c>
      <c r="F4" s="2"/>
      <c r="G4" s="3"/>
      <c r="H4" s="2" t="s">
        <v>110</v>
      </c>
      <c r="I4">
        <v>1</v>
      </c>
      <c r="J4" s="2"/>
      <c r="K4" s="4" t="s">
        <v>143</v>
      </c>
      <c r="L4">
        <v>1</v>
      </c>
      <c r="M4" s="2"/>
      <c r="N4" s="2" t="s">
        <v>162</v>
      </c>
      <c r="O4">
        <v>1</v>
      </c>
      <c r="P4" s="2"/>
      <c r="Q4" s="2" t="s">
        <v>163</v>
      </c>
      <c r="R4">
        <v>1</v>
      </c>
      <c r="S4" s="2"/>
      <c r="T4" s="2" t="s">
        <v>145</v>
      </c>
      <c r="U4">
        <v>1</v>
      </c>
      <c r="V4" s="2"/>
      <c r="W4" s="4" t="s">
        <v>146</v>
      </c>
      <c r="X4">
        <v>1</v>
      </c>
      <c r="Y4" s="2"/>
      <c r="Z4" s="2" t="s">
        <v>116</v>
      </c>
      <c r="AA4">
        <v>1</v>
      </c>
      <c r="AB4" s="2"/>
      <c r="AC4" s="2" t="s">
        <v>117</v>
      </c>
      <c r="AD4">
        <v>1</v>
      </c>
      <c r="AE4" s="2"/>
      <c r="AF4" s="2" t="s">
        <v>118</v>
      </c>
      <c r="AG4">
        <v>1</v>
      </c>
      <c r="AH4" s="2"/>
      <c r="AI4" s="2" t="s">
        <v>119</v>
      </c>
      <c r="AJ4">
        <v>1</v>
      </c>
      <c r="AK4" s="2"/>
      <c r="AL4" s="2" t="s">
        <v>120</v>
      </c>
      <c r="AM4">
        <v>1</v>
      </c>
      <c r="AN4" s="2"/>
      <c r="AO4" s="2" t="s">
        <v>121</v>
      </c>
      <c r="AP4">
        <v>1</v>
      </c>
      <c r="AQ4" s="2"/>
      <c r="AR4" s="2" t="s">
        <v>122</v>
      </c>
      <c r="AS4">
        <v>1</v>
      </c>
      <c r="AT4" s="2"/>
      <c r="AU4" s="2" t="s">
        <v>123</v>
      </c>
      <c r="AV4">
        <v>1</v>
      </c>
      <c r="AW4" s="2"/>
      <c r="AX4" s="2" t="s">
        <v>208</v>
      </c>
      <c r="AY4">
        <v>0</v>
      </c>
      <c r="AZ4" s="2"/>
      <c r="BA4" s="2" t="s">
        <v>125</v>
      </c>
      <c r="BB4">
        <v>1</v>
      </c>
      <c r="BC4" s="2"/>
      <c r="BD4" s="2" t="s">
        <v>164</v>
      </c>
      <c r="BE4">
        <v>1</v>
      </c>
      <c r="BF4" s="2"/>
      <c r="BG4" s="2" t="s">
        <v>127</v>
      </c>
      <c r="BH4">
        <v>1</v>
      </c>
      <c r="BI4" s="2"/>
      <c r="BJ4" s="2" t="s">
        <v>128</v>
      </c>
      <c r="BK4">
        <v>1</v>
      </c>
      <c r="BL4" s="2"/>
      <c r="BM4" s="2" t="s">
        <v>125</v>
      </c>
      <c r="BN4">
        <v>1</v>
      </c>
      <c r="BO4" s="2"/>
      <c r="BP4" s="2" t="s">
        <v>129</v>
      </c>
      <c r="BQ4">
        <v>1</v>
      </c>
      <c r="BR4" s="2"/>
      <c r="BS4" s="2" t="s">
        <v>130</v>
      </c>
      <c r="BT4">
        <v>1</v>
      </c>
      <c r="BU4" s="2"/>
      <c r="BV4" s="2" t="s">
        <v>131</v>
      </c>
      <c r="BW4">
        <v>1</v>
      </c>
      <c r="BX4" s="2"/>
      <c r="BY4" s="2" t="s">
        <v>132</v>
      </c>
      <c r="BZ4">
        <v>1</v>
      </c>
      <c r="CA4" s="2"/>
      <c r="CB4" s="4" t="s">
        <v>165</v>
      </c>
      <c r="CC4">
        <v>1</v>
      </c>
      <c r="CD4" s="2"/>
      <c r="CE4" s="2" t="s">
        <v>134</v>
      </c>
      <c r="CF4">
        <v>1</v>
      </c>
      <c r="CG4" s="2"/>
      <c r="CH4" s="5" t="s">
        <v>155</v>
      </c>
      <c r="CI4">
        <v>1</v>
      </c>
      <c r="CJ4" s="2"/>
      <c r="CK4" s="2" t="s">
        <v>136</v>
      </c>
      <c r="CL4">
        <v>1</v>
      </c>
      <c r="CM4" s="2"/>
      <c r="CN4" s="2" t="s">
        <v>137</v>
      </c>
      <c r="CO4">
        <v>1</v>
      </c>
      <c r="CP4" s="2"/>
      <c r="CQ4" s="4" t="s">
        <v>185</v>
      </c>
      <c r="CR4">
        <v>1</v>
      </c>
      <c r="CS4" s="2"/>
      <c r="CT4" s="2" t="s">
        <v>209</v>
      </c>
      <c r="CU4">
        <v>0</v>
      </c>
      <c r="CV4" s="2"/>
      <c r="CW4" s="2" t="s">
        <v>139</v>
      </c>
      <c r="CX4">
        <v>1</v>
      </c>
      <c r="CY4" s="2"/>
      <c r="CZ4" s="2" t="s">
        <v>166</v>
      </c>
      <c r="DA4">
        <v>1</v>
      </c>
      <c r="DB4" s="2"/>
      <c r="DC4" s="2" t="s">
        <v>141</v>
      </c>
      <c r="DD4">
        <v>1</v>
      </c>
      <c r="DE4" s="2"/>
    </row>
    <row r="5" spans="1:109" x14ac:dyDescent="0.25">
      <c r="A5">
        <v>8</v>
      </c>
      <c r="B5" s="3">
        <v>46247.408750000002</v>
      </c>
      <c r="C5" s="3">
        <v>46247.411921296298</v>
      </c>
      <c r="D5" t="s">
        <v>167</v>
      </c>
      <c r="E5">
        <v>28</v>
      </c>
      <c r="G5" s="3"/>
      <c r="H5" t="s">
        <v>110</v>
      </c>
      <c r="I5">
        <v>1</v>
      </c>
      <c r="K5" s="1" t="s">
        <v>143</v>
      </c>
      <c r="L5">
        <v>1</v>
      </c>
      <c r="N5" t="s">
        <v>162</v>
      </c>
      <c r="O5">
        <v>1</v>
      </c>
      <c r="Q5" t="s">
        <v>163</v>
      </c>
      <c r="R5">
        <v>1</v>
      </c>
      <c r="T5" t="s">
        <v>145</v>
      </c>
      <c r="U5">
        <v>1</v>
      </c>
      <c r="W5" s="1" t="s">
        <v>146</v>
      </c>
      <c r="X5">
        <v>1</v>
      </c>
      <c r="Z5" t="s">
        <v>116</v>
      </c>
      <c r="AA5">
        <v>1</v>
      </c>
      <c r="AC5" t="s">
        <v>117</v>
      </c>
      <c r="AD5">
        <v>1</v>
      </c>
      <c r="AF5" t="s">
        <v>118</v>
      </c>
      <c r="AG5">
        <v>1</v>
      </c>
      <c r="AI5" t="s">
        <v>119</v>
      </c>
      <c r="AJ5">
        <v>1</v>
      </c>
      <c r="AL5" t="s">
        <v>120</v>
      </c>
      <c r="AM5">
        <v>1</v>
      </c>
      <c r="AO5" t="s">
        <v>149</v>
      </c>
      <c r="AP5">
        <v>0</v>
      </c>
      <c r="AR5" t="s">
        <v>122</v>
      </c>
      <c r="AS5">
        <v>1</v>
      </c>
      <c r="AU5" t="s">
        <v>123</v>
      </c>
      <c r="AV5">
        <v>1</v>
      </c>
      <c r="AX5" t="s">
        <v>124</v>
      </c>
      <c r="AY5">
        <v>1</v>
      </c>
      <c r="BA5" t="s">
        <v>125</v>
      </c>
      <c r="BB5">
        <v>1</v>
      </c>
      <c r="BD5" t="s">
        <v>126</v>
      </c>
      <c r="BE5">
        <v>0</v>
      </c>
      <c r="BG5" t="s">
        <v>127</v>
      </c>
      <c r="BH5">
        <v>1</v>
      </c>
      <c r="BJ5" t="s">
        <v>128</v>
      </c>
      <c r="BK5">
        <v>1</v>
      </c>
      <c r="BM5" t="s">
        <v>125</v>
      </c>
      <c r="BN5">
        <v>1</v>
      </c>
      <c r="BP5" t="s">
        <v>129</v>
      </c>
      <c r="BQ5">
        <v>1</v>
      </c>
      <c r="BS5" t="s">
        <v>130</v>
      </c>
      <c r="BT5">
        <v>1</v>
      </c>
      <c r="BV5" t="s">
        <v>153</v>
      </c>
      <c r="BW5">
        <v>0</v>
      </c>
      <c r="BY5" t="s">
        <v>132</v>
      </c>
      <c r="BZ5">
        <v>1</v>
      </c>
      <c r="CB5" s="1" t="s">
        <v>165</v>
      </c>
      <c r="CC5">
        <v>1</v>
      </c>
      <c r="CE5" t="s">
        <v>148</v>
      </c>
      <c r="CF5">
        <v>0</v>
      </c>
      <c r="CH5" t="s">
        <v>155</v>
      </c>
      <c r="CI5">
        <v>1</v>
      </c>
      <c r="CK5" t="s">
        <v>136</v>
      </c>
      <c r="CL5">
        <v>1</v>
      </c>
      <c r="CN5" t="s">
        <v>137</v>
      </c>
      <c r="CO5">
        <v>1</v>
      </c>
      <c r="CQ5" t="s">
        <v>185</v>
      </c>
      <c r="CR5">
        <v>1</v>
      </c>
      <c r="CT5" t="s">
        <v>138</v>
      </c>
      <c r="CU5">
        <v>0</v>
      </c>
      <c r="CW5" t="s">
        <v>188</v>
      </c>
      <c r="CX5">
        <v>0</v>
      </c>
      <c r="CZ5" t="s">
        <v>166</v>
      </c>
      <c r="DA5">
        <v>1</v>
      </c>
      <c r="DC5" t="s">
        <v>141</v>
      </c>
      <c r="DD5">
        <v>1</v>
      </c>
    </row>
    <row r="6" spans="1:109" ht="18" customHeight="1" x14ac:dyDescent="0.25">
      <c r="A6">
        <v>17</v>
      </c>
      <c r="B6" s="3">
        <v>46247.3981712963</v>
      </c>
      <c r="C6" s="3">
        <v>46247.416458333297</v>
      </c>
      <c r="D6" s="2" t="s">
        <v>210</v>
      </c>
      <c r="E6">
        <v>28</v>
      </c>
      <c r="F6" s="2"/>
      <c r="G6" s="3"/>
      <c r="H6" s="2" t="s">
        <v>110</v>
      </c>
      <c r="I6">
        <v>1</v>
      </c>
      <c r="J6" s="2"/>
      <c r="K6" s="4" t="s">
        <v>143</v>
      </c>
      <c r="L6">
        <v>1</v>
      </c>
      <c r="M6" s="2"/>
      <c r="N6" s="2" t="s">
        <v>162</v>
      </c>
      <c r="O6">
        <v>1</v>
      </c>
      <c r="P6" s="2"/>
      <c r="Q6" s="2" t="s">
        <v>144</v>
      </c>
      <c r="R6">
        <v>0</v>
      </c>
      <c r="S6" s="2"/>
      <c r="T6" s="2" t="s">
        <v>145</v>
      </c>
      <c r="U6">
        <v>1</v>
      </c>
      <c r="V6" s="2"/>
      <c r="W6" s="4" t="s">
        <v>146</v>
      </c>
      <c r="X6">
        <v>1</v>
      </c>
      <c r="Y6" s="2"/>
      <c r="Z6" s="2" t="s">
        <v>191</v>
      </c>
      <c r="AA6">
        <v>0</v>
      </c>
      <c r="AB6" s="2"/>
      <c r="AC6" s="2" t="s">
        <v>117</v>
      </c>
      <c r="AD6">
        <v>1</v>
      </c>
      <c r="AE6" s="2"/>
      <c r="AF6" s="2" t="s">
        <v>118</v>
      </c>
      <c r="AG6">
        <v>1</v>
      </c>
      <c r="AH6" s="2"/>
      <c r="AI6" s="2" t="s">
        <v>119</v>
      </c>
      <c r="AJ6">
        <v>1</v>
      </c>
      <c r="AK6" s="2"/>
      <c r="AL6" s="2" t="s">
        <v>120</v>
      </c>
      <c r="AM6">
        <v>1</v>
      </c>
      <c r="AN6" s="2"/>
      <c r="AO6" s="2" t="s">
        <v>121</v>
      </c>
      <c r="AP6">
        <v>1</v>
      </c>
      <c r="AQ6" s="2"/>
      <c r="AR6" s="2" t="s">
        <v>122</v>
      </c>
      <c r="AS6">
        <v>1</v>
      </c>
      <c r="AT6" s="2"/>
      <c r="AU6" s="2" t="s">
        <v>123</v>
      </c>
      <c r="AV6">
        <v>1</v>
      </c>
      <c r="AW6" s="2"/>
      <c r="AX6" s="2" t="s">
        <v>124</v>
      </c>
      <c r="AY6">
        <v>1</v>
      </c>
      <c r="AZ6" s="2"/>
      <c r="BA6" s="2" t="s">
        <v>125</v>
      </c>
      <c r="BB6">
        <v>1</v>
      </c>
      <c r="BC6" s="2"/>
      <c r="BD6" s="2" t="s">
        <v>164</v>
      </c>
      <c r="BE6">
        <v>1</v>
      </c>
      <c r="BF6" s="2"/>
      <c r="BG6" s="2" t="s">
        <v>151</v>
      </c>
      <c r="BH6">
        <v>0</v>
      </c>
      <c r="BI6" s="2"/>
      <c r="BJ6" s="2" t="s">
        <v>128</v>
      </c>
      <c r="BK6">
        <v>1</v>
      </c>
      <c r="BL6" s="2"/>
      <c r="BM6" s="2" t="s">
        <v>211</v>
      </c>
      <c r="BN6">
        <v>0</v>
      </c>
      <c r="BO6" s="2"/>
      <c r="BP6" s="2" t="s">
        <v>129</v>
      </c>
      <c r="BQ6">
        <v>1</v>
      </c>
      <c r="BR6" s="2"/>
      <c r="BS6" s="2" t="s">
        <v>130</v>
      </c>
      <c r="BT6">
        <v>1</v>
      </c>
      <c r="BU6" s="2"/>
      <c r="BV6" s="2" t="s">
        <v>131</v>
      </c>
      <c r="BW6">
        <v>1</v>
      </c>
      <c r="BX6" s="2"/>
      <c r="BY6" s="2" t="s">
        <v>132</v>
      </c>
      <c r="BZ6">
        <v>1</v>
      </c>
      <c r="CA6" s="2"/>
      <c r="CB6" s="4" t="s">
        <v>165</v>
      </c>
      <c r="CC6">
        <v>1</v>
      </c>
      <c r="CD6" s="2"/>
      <c r="CE6" s="2" t="s">
        <v>130</v>
      </c>
      <c r="CF6">
        <v>0</v>
      </c>
      <c r="CG6" s="2"/>
      <c r="CH6" s="5" t="s">
        <v>155</v>
      </c>
      <c r="CI6">
        <v>1</v>
      </c>
      <c r="CJ6" s="2"/>
      <c r="CK6" s="2" t="s">
        <v>136</v>
      </c>
      <c r="CL6">
        <v>1</v>
      </c>
      <c r="CM6" s="2"/>
      <c r="CN6" s="2" t="s">
        <v>137</v>
      </c>
      <c r="CO6">
        <v>1</v>
      </c>
      <c r="CP6" s="2"/>
      <c r="CQ6" s="4" t="s">
        <v>158</v>
      </c>
      <c r="CR6">
        <v>0</v>
      </c>
      <c r="CS6" s="2"/>
      <c r="CT6" s="2" t="s">
        <v>124</v>
      </c>
      <c r="CU6">
        <v>1</v>
      </c>
      <c r="CV6" s="2"/>
      <c r="CW6" s="2" t="s">
        <v>139</v>
      </c>
      <c r="CX6">
        <v>1</v>
      </c>
      <c r="CY6" s="2"/>
      <c r="CZ6" s="2" t="s">
        <v>166</v>
      </c>
      <c r="DA6">
        <v>1</v>
      </c>
      <c r="DB6" s="2"/>
      <c r="DC6" s="2" t="s">
        <v>141</v>
      </c>
      <c r="DD6">
        <v>1</v>
      </c>
      <c r="DE6" s="2"/>
    </row>
    <row r="7" spans="1:109" ht="18.75" customHeight="1" x14ac:dyDescent="0.25">
      <c r="A7">
        <v>20</v>
      </c>
      <c r="B7" s="3">
        <v>46247.410300925898</v>
      </c>
      <c r="C7" s="3">
        <v>46247.4209722222</v>
      </c>
      <c r="D7" s="2" t="s">
        <v>179</v>
      </c>
      <c r="E7">
        <v>19</v>
      </c>
      <c r="F7" s="2"/>
      <c r="G7" s="3"/>
      <c r="H7" s="2" t="s">
        <v>110</v>
      </c>
      <c r="I7">
        <v>1</v>
      </c>
      <c r="J7" s="2"/>
      <c r="K7" s="4" t="s">
        <v>169</v>
      </c>
      <c r="L7">
        <v>0</v>
      </c>
      <c r="M7" s="2"/>
      <c r="N7" s="2" t="s">
        <v>170</v>
      </c>
      <c r="O7">
        <v>0</v>
      </c>
      <c r="P7" s="2"/>
      <c r="Q7" s="2" t="s">
        <v>215</v>
      </c>
      <c r="R7">
        <v>0</v>
      </c>
      <c r="S7" s="2"/>
      <c r="T7" s="2" t="s">
        <v>145</v>
      </c>
      <c r="U7">
        <v>1</v>
      </c>
      <c r="V7" s="2"/>
      <c r="W7" s="4" t="s">
        <v>115</v>
      </c>
      <c r="X7">
        <v>0</v>
      </c>
      <c r="Y7" s="2"/>
      <c r="Z7" s="2" t="s">
        <v>180</v>
      </c>
      <c r="AA7">
        <v>0</v>
      </c>
      <c r="AB7" s="2"/>
      <c r="AC7" s="2" t="s">
        <v>117</v>
      </c>
      <c r="AD7">
        <v>1</v>
      </c>
      <c r="AE7" s="2"/>
      <c r="AF7" s="2" t="s">
        <v>171</v>
      </c>
      <c r="AG7">
        <v>0</v>
      </c>
      <c r="AH7" s="2"/>
      <c r="AI7" s="2" t="s">
        <v>172</v>
      </c>
      <c r="AJ7">
        <v>0</v>
      </c>
      <c r="AK7" s="2"/>
      <c r="AL7" s="2" t="s">
        <v>120</v>
      </c>
      <c r="AM7">
        <v>1</v>
      </c>
      <c r="AN7" s="2"/>
      <c r="AO7" s="2" t="s">
        <v>121</v>
      </c>
      <c r="AP7">
        <v>1</v>
      </c>
      <c r="AQ7" s="2"/>
      <c r="AR7" s="2" t="s">
        <v>150</v>
      </c>
      <c r="AS7">
        <v>0</v>
      </c>
      <c r="AT7" s="2"/>
      <c r="AU7" s="2" t="s">
        <v>123</v>
      </c>
      <c r="AV7">
        <v>1</v>
      </c>
      <c r="AW7" s="2"/>
      <c r="AX7" s="2" t="s">
        <v>124</v>
      </c>
      <c r="AY7">
        <v>1</v>
      </c>
      <c r="AZ7" s="2"/>
      <c r="BA7" s="2" t="s">
        <v>125</v>
      </c>
      <c r="BB7">
        <v>1</v>
      </c>
      <c r="BC7" s="2"/>
      <c r="BD7" s="2" t="s">
        <v>182</v>
      </c>
      <c r="BE7">
        <v>0</v>
      </c>
      <c r="BF7" s="2"/>
      <c r="BG7" s="2" t="s">
        <v>216</v>
      </c>
      <c r="BH7">
        <v>0</v>
      </c>
      <c r="BI7" s="2"/>
      <c r="BJ7" s="2" t="s">
        <v>128</v>
      </c>
      <c r="BK7">
        <v>1</v>
      </c>
      <c r="BL7" s="2"/>
      <c r="BM7" s="2" t="s">
        <v>125</v>
      </c>
      <c r="BN7">
        <v>1</v>
      </c>
      <c r="BO7" s="2"/>
      <c r="BP7" s="2" t="s">
        <v>129</v>
      </c>
      <c r="BQ7">
        <v>1</v>
      </c>
      <c r="BR7" s="2"/>
      <c r="BS7" s="2" t="s">
        <v>131</v>
      </c>
      <c r="BT7">
        <v>0</v>
      </c>
      <c r="BU7" s="2"/>
      <c r="BV7" s="2" t="s">
        <v>131</v>
      </c>
      <c r="BW7">
        <v>1</v>
      </c>
      <c r="BX7" s="2"/>
      <c r="BY7" s="2" t="s">
        <v>132</v>
      </c>
      <c r="BZ7">
        <v>1</v>
      </c>
      <c r="CA7" s="2"/>
      <c r="CB7" s="4" t="s">
        <v>165</v>
      </c>
      <c r="CC7">
        <v>1</v>
      </c>
      <c r="CD7" s="2"/>
      <c r="CE7" s="2" t="s">
        <v>217</v>
      </c>
      <c r="CF7">
        <v>0</v>
      </c>
      <c r="CG7" s="2"/>
      <c r="CH7" s="5" t="s">
        <v>155</v>
      </c>
      <c r="CI7">
        <v>1</v>
      </c>
      <c r="CJ7" s="2"/>
      <c r="CK7" s="2" t="s">
        <v>156</v>
      </c>
      <c r="CL7">
        <v>0</v>
      </c>
      <c r="CM7" s="2"/>
      <c r="CN7" s="2" t="s">
        <v>137</v>
      </c>
      <c r="CO7">
        <v>1</v>
      </c>
      <c r="CP7" s="2"/>
      <c r="CQ7" s="4" t="s">
        <v>158</v>
      </c>
      <c r="CR7">
        <v>0</v>
      </c>
      <c r="CS7" s="2"/>
      <c r="CT7" s="2" t="s">
        <v>129</v>
      </c>
      <c r="CU7">
        <v>0</v>
      </c>
      <c r="CV7" s="2"/>
      <c r="CW7" s="2" t="s">
        <v>139</v>
      </c>
      <c r="CX7">
        <v>1</v>
      </c>
      <c r="CY7" s="2"/>
      <c r="CZ7" s="2" t="s">
        <v>166</v>
      </c>
      <c r="DA7">
        <v>1</v>
      </c>
      <c r="DB7" s="2"/>
      <c r="DC7" s="2" t="s">
        <v>141</v>
      </c>
      <c r="DD7">
        <v>1</v>
      </c>
      <c r="DE7" s="2"/>
    </row>
    <row r="8" spans="1:109" ht="18" customHeight="1" x14ac:dyDescent="0.25">
      <c r="A8">
        <v>15</v>
      </c>
      <c r="B8" s="3">
        <v>46247.398310185199</v>
      </c>
      <c r="C8" s="3">
        <v>46247.414432870399</v>
      </c>
      <c r="D8" s="2" t="s">
        <v>207</v>
      </c>
      <c r="E8">
        <v>31</v>
      </c>
      <c r="F8" s="2"/>
      <c r="G8" s="3"/>
      <c r="H8" s="2" t="s">
        <v>110</v>
      </c>
      <c r="I8">
        <v>1</v>
      </c>
      <c r="J8" s="2"/>
      <c r="K8" s="4" t="s">
        <v>161</v>
      </c>
      <c r="L8">
        <v>0</v>
      </c>
      <c r="M8" s="2"/>
      <c r="N8" s="2" t="s">
        <v>162</v>
      </c>
      <c r="O8">
        <v>1</v>
      </c>
      <c r="P8" s="2"/>
      <c r="Q8" s="2" t="s">
        <v>163</v>
      </c>
      <c r="R8">
        <v>1</v>
      </c>
      <c r="S8" s="2"/>
      <c r="T8" s="2" t="s">
        <v>145</v>
      </c>
      <c r="U8">
        <v>1</v>
      </c>
      <c r="V8" s="2"/>
      <c r="W8" s="4" t="s">
        <v>146</v>
      </c>
      <c r="X8">
        <v>1</v>
      </c>
      <c r="Y8" s="2"/>
      <c r="Z8" s="2" t="s">
        <v>116</v>
      </c>
      <c r="AA8">
        <v>1</v>
      </c>
      <c r="AB8" s="2"/>
      <c r="AC8" s="2" t="s">
        <v>117</v>
      </c>
      <c r="AD8">
        <v>1</v>
      </c>
      <c r="AE8" s="2"/>
      <c r="AF8" s="2" t="s">
        <v>118</v>
      </c>
      <c r="AG8">
        <v>1</v>
      </c>
      <c r="AH8" s="2"/>
      <c r="AI8" s="2" t="s">
        <v>119</v>
      </c>
      <c r="AJ8">
        <v>1</v>
      </c>
      <c r="AK8" s="2"/>
      <c r="AL8" s="2" t="s">
        <v>120</v>
      </c>
      <c r="AM8">
        <v>1</v>
      </c>
      <c r="AN8" s="2"/>
      <c r="AO8" s="2" t="s">
        <v>149</v>
      </c>
      <c r="AP8">
        <v>0</v>
      </c>
      <c r="AQ8" s="2"/>
      <c r="AR8" s="2" t="s">
        <v>122</v>
      </c>
      <c r="AS8">
        <v>1</v>
      </c>
      <c r="AT8" s="2"/>
      <c r="AU8" s="2" t="s">
        <v>123</v>
      </c>
      <c r="AV8">
        <v>1</v>
      </c>
      <c r="AW8" s="2"/>
      <c r="AX8" s="2" t="s">
        <v>124</v>
      </c>
      <c r="AY8">
        <v>1</v>
      </c>
      <c r="AZ8" s="2"/>
      <c r="BA8" s="2" t="s">
        <v>125</v>
      </c>
      <c r="BB8">
        <v>1</v>
      </c>
      <c r="BC8" s="2"/>
      <c r="BD8" s="2" t="s">
        <v>164</v>
      </c>
      <c r="BE8">
        <v>1</v>
      </c>
      <c r="BF8" s="2"/>
      <c r="BG8" s="2" t="s">
        <v>127</v>
      </c>
      <c r="BH8">
        <v>1</v>
      </c>
      <c r="BI8" s="2"/>
      <c r="BJ8" s="2" t="s">
        <v>128</v>
      </c>
      <c r="BK8">
        <v>1</v>
      </c>
      <c r="BL8" s="2"/>
      <c r="BM8" s="2" t="s">
        <v>125</v>
      </c>
      <c r="BN8">
        <v>1</v>
      </c>
      <c r="BO8" s="2"/>
      <c r="BP8" s="2" t="s">
        <v>129</v>
      </c>
      <c r="BQ8">
        <v>1</v>
      </c>
      <c r="BR8" s="2"/>
      <c r="BS8" s="2" t="s">
        <v>130</v>
      </c>
      <c r="BT8">
        <v>1</v>
      </c>
      <c r="BU8" s="2"/>
      <c r="BV8" s="2" t="s">
        <v>131</v>
      </c>
      <c r="BW8">
        <v>1</v>
      </c>
      <c r="BX8" s="2"/>
      <c r="BY8" s="2" t="s">
        <v>132</v>
      </c>
      <c r="BZ8">
        <v>1</v>
      </c>
      <c r="CA8" s="2"/>
      <c r="CB8" s="4" t="s">
        <v>165</v>
      </c>
      <c r="CC8">
        <v>1</v>
      </c>
      <c r="CD8" s="2"/>
      <c r="CE8" s="2" t="s">
        <v>134</v>
      </c>
      <c r="CF8">
        <v>1</v>
      </c>
      <c r="CG8" s="2"/>
      <c r="CH8" s="5" t="s">
        <v>155</v>
      </c>
      <c r="CI8">
        <v>1</v>
      </c>
      <c r="CJ8" s="2"/>
      <c r="CK8" s="2" t="s">
        <v>136</v>
      </c>
      <c r="CL8">
        <v>1</v>
      </c>
      <c r="CM8" s="2"/>
      <c r="CN8" s="2" t="s">
        <v>137</v>
      </c>
      <c r="CO8">
        <v>1</v>
      </c>
      <c r="CP8" s="2"/>
      <c r="CQ8" s="4" t="s">
        <v>133</v>
      </c>
      <c r="CR8">
        <v>0</v>
      </c>
      <c r="CS8" s="2"/>
      <c r="CT8" s="2" t="s">
        <v>124</v>
      </c>
      <c r="CU8">
        <v>1</v>
      </c>
      <c r="CV8" s="2"/>
      <c r="CW8" s="2" t="s">
        <v>139</v>
      </c>
      <c r="CX8">
        <v>1</v>
      </c>
      <c r="CY8" s="2"/>
      <c r="CZ8" s="2" t="s">
        <v>166</v>
      </c>
      <c r="DA8">
        <v>1</v>
      </c>
      <c r="DB8" s="2"/>
      <c r="DC8" s="2" t="s">
        <v>141</v>
      </c>
      <c r="DD8">
        <v>1</v>
      </c>
      <c r="DE8" s="2"/>
    </row>
    <row r="9" spans="1:109" ht="16.5" customHeight="1" x14ac:dyDescent="0.25">
      <c r="A9">
        <v>18</v>
      </c>
      <c r="B9" s="3">
        <v>46247.397847222201</v>
      </c>
      <c r="C9" s="3">
        <v>46247.419837963003</v>
      </c>
      <c r="D9" s="2" t="s">
        <v>212</v>
      </c>
      <c r="E9">
        <v>31</v>
      </c>
      <c r="F9" s="2"/>
      <c r="G9" s="3"/>
      <c r="H9" s="2" t="s">
        <v>110</v>
      </c>
      <c r="I9">
        <v>1</v>
      </c>
      <c r="J9" s="2"/>
      <c r="K9" s="4" t="s">
        <v>143</v>
      </c>
      <c r="L9">
        <v>1</v>
      </c>
      <c r="M9" s="2"/>
      <c r="N9" s="2" t="s">
        <v>162</v>
      </c>
      <c r="O9">
        <v>1</v>
      </c>
      <c r="P9" s="2"/>
      <c r="Q9" s="2" t="s">
        <v>163</v>
      </c>
      <c r="R9">
        <v>1</v>
      </c>
      <c r="S9" s="2"/>
      <c r="T9" s="2" t="s">
        <v>145</v>
      </c>
      <c r="U9">
        <v>1</v>
      </c>
      <c r="V9" s="2"/>
      <c r="W9" s="4" t="s">
        <v>146</v>
      </c>
      <c r="X9">
        <v>1</v>
      </c>
      <c r="Y9" s="2"/>
      <c r="Z9" s="2" t="s">
        <v>116</v>
      </c>
      <c r="AA9">
        <v>1</v>
      </c>
      <c r="AB9" s="2"/>
      <c r="AC9" s="2" t="s">
        <v>117</v>
      </c>
      <c r="AD9">
        <v>1</v>
      </c>
      <c r="AE9" s="2"/>
      <c r="AF9" s="2" t="s">
        <v>118</v>
      </c>
      <c r="AG9">
        <v>1</v>
      </c>
      <c r="AH9" s="2"/>
      <c r="AI9" s="2" t="s">
        <v>119</v>
      </c>
      <c r="AJ9">
        <v>1</v>
      </c>
      <c r="AK9" s="2"/>
      <c r="AL9" s="2" t="s">
        <v>120</v>
      </c>
      <c r="AM9">
        <v>1</v>
      </c>
      <c r="AN9" s="2"/>
      <c r="AO9" s="2" t="s">
        <v>121</v>
      </c>
      <c r="AP9">
        <v>1</v>
      </c>
      <c r="AQ9" s="2"/>
      <c r="AR9" s="2" t="s">
        <v>122</v>
      </c>
      <c r="AS9">
        <v>1</v>
      </c>
      <c r="AT9" s="2"/>
      <c r="AU9" s="2" t="s">
        <v>123</v>
      </c>
      <c r="AV9">
        <v>1</v>
      </c>
      <c r="AW9" s="2"/>
      <c r="AX9" s="2" t="s">
        <v>213</v>
      </c>
      <c r="AY9">
        <v>0</v>
      </c>
      <c r="AZ9" s="2"/>
      <c r="BA9" s="2" t="s">
        <v>125</v>
      </c>
      <c r="BB9">
        <v>1</v>
      </c>
      <c r="BC9" s="2"/>
      <c r="BD9" s="2" t="s">
        <v>164</v>
      </c>
      <c r="BE9">
        <v>1</v>
      </c>
      <c r="BF9" s="2"/>
      <c r="BG9" s="2" t="s">
        <v>127</v>
      </c>
      <c r="BH9">
        <v>1</v>
      </c>
      <c r="BI9" s="2"/>
      <c r="BJ9" s="2" t="s">
        <v>128</v>
      </c>
      <c r="BK9">
        <v>1</v>
      </c>
      <c r="BL9" s="2"/>
      <c r="BM9" s="2" t="s">
        <v>125</v>
      </c>
      <c r="BN9">
        <v>1</v>
      </c>
      <c r="BO9" s="2"/>
      <c r="BP9" s="2" t="s">
        <v>129</v>
      </c>
      <c r="BQ9">
        <v>1</v>
      </c>
      <c r="BR9" s="2"/>
      <c r="BS9" s="2" t="s">
        <v>130</v>
      </c>
      <c r="BT9">
        <v>1</v>
      </c>
      <c r="BU9" s="2"/>
      <c r="BV9" s="2" t="s">
        <v>131</v>
      </c>
      <c r="BW9">
        <v>1</v>
      </c>
      <c r="BX9" s="2"/>
      <c r="BY9" s="2" t="s">
        <v>132</v>
      </c>
      <c r="BZ9">
        <v>1</v>
      </c>
      <c r="CA9" s="2"/>
      <c r="CB9" s="4" t="s">
        <v>165</v>
      </c>
      <c r="CC9">
        <v>1</v>
      </c>
      <c r="CD9" s="2"/>
      <c r="CE9" s="2" t="s">
        <v>134</v>
      </c>
      <c r="CF9">
        <v>1</v>
      </c>
      <c r="CG9" s="2"/>
      <c r="CH9" s="5" t="s">
        <v>155</v>
      </c>
      <c r="CI9">
        <v>1</v>
      </c>
      <c r="CJ9" s="2"/>
      <c r="CK9" s="2" t="s">
        <v>136</v>
      </c>
      <c r="CL9">
        <v>1</v>
      </c>
      <c r="CM9" s="2"/>
      <c r="CN9" s="2" t="s">
        <v>137</v>
      </c>
      <c r="CO9">
        <v>1</v>
      </c>
      <c r="CP9" s="2"/>
      <c r="CQ9" s="4" t="s">
        <v>133</v>
      </c>
      <c r="CR9">
        <v>0</v>
      </c>
      <c r="CS9" s="2"/>
      <c r="CT9" s="2" t="s">
        <v>124</v>
      </c>
      <c r="CU9">
        <v>1</v>
      </c>
      <c r="CV9" s="2"/>
      <c r="CW9" s="2" t="s">
        <v>138</v>
      </c>
      <c r="CX9">
        <v>0</v>
      </c>
      <c r="CY9" s="2"/>
      <c r="CZ9" s="2" t="s">
        <v>166</v>
      </c>
      <c r="DA9">
        <v>1</v>
      </c>
      <c r="DB9" s="2"/>
      <c r="DC9" s="2" t="s">
        <v>141</v>
      </c>
      <c r="DD9">
        <v>1</v>
      </c>
      <c r="DE9" s="2"/>
    </row>
    <row r="10" spans="1:109" ht="15.75" customHeight="1" x14ac:dyDescent="0.25">
      <c r="A10">
        <v>1</v>
      </c>
      <c r="B10" s="3">
        <v>46247.397997685184</v>
      </c>
      <c r="C10" s="3">
        <v>46247.406168981484</v>
      </c>
      <c r="D10" t="s">
        <v>109</v>
      </c>
      <c r="E10">
        <v>23</v>
      </c>
      <c r="G10" s="3"/>
      <c r="H10" t="s">
        <v>110</v>
      </c>
      <c r="I10">
        <v>1</v>
      </c>
      <c r="K10" s="1" t="s">
        <v>111</v>
      </c>
      <c r="L10">
        <v>0</v>
      </c>
      <c r="N10" t="s">
        <v>112</v>
      </c>
      <c r="O10">
        <v>0</v>
      </c>
      <c r="Q10" t="s">
        <v>113</v>
      </c>
      <c r="R10">
        <v>0</v>
      </c>
      <c r="T10" t="s">
        <v>114</v>
      </c>
      <c r="U10">
        <v>0</v>
      </c>
      <c r="W10" s="1" t="s">
        <v>115</v>
      </c>
      <c r="X10">
        <v>0</v>
      </c>
      <c r="Z10" t="s">
        <v>116</v>
      </c>
      <c r="AA10">
        <v>1</v>
      </c>
      <c r="AC10" t="s">
        <v>117</v>
      </c>
      <c r="AD10">
        <v>1</v>
      </c>
      <c r="AF10" t="s">
        <v>118</v>
      </c>
      <c r="AG10">
        <v>1</v>
      </c>
      <c r="AI10" t="s">
        <v>119</v>
      </c>
      <c r="AJ10">
        <v>1</v>
      </c>
      <c r="AL10" t="s">
        <v>120</v>
      </c>
      <c r="AM10">
        <v>1</v>
      </c>
      <c r="AO10" t="s">
        <v>121</v>
      </c>
      <c r="AP10">
        <v>1</v>
      </c>
      <c r="AR10" t="s">
        <v>122</v>
      </c>
      <c r="AS10">
        <v>1</v>
      </c>
      <c r="AU10" t="s">
        <v>123</v>
      </c>
      <c r="AV10">
        <v>1</v>
      </c>
      <c r="AX10" t="s">
        <v>124</v>
      </c>
      <c r="AY10">
        <v>1</v>
      </c>
      <c r="BA10" t="s">
        <v>125</v>
      </c>
      <c r="BB10">
        <v>1</v>
      </c>
      <c r="BD10" t="s">
        <v>126</v>
      </c>
      <c r="BE10">
        <v>0</v>
      </c>
      <c r="BG10" t="s">
        <v>127</v>
      </c>
      <c r="BH10">
        <v>1</v>
      </c>
      <c r="BJ10" t="s">
        <v>128</v>
      </c>
      <c r="BK10">
        <v>1</v>
      </c>
      <c r="BM10" t="s">
        <v>125</v>
      </c>
      <c r="BN10">
        <v>1</v>
      </c>
      <c r="BP10" t="s">
        <v>129</v>
      </c>
      <c r="BQ10">
        <v>1</v>
      </c>
      <c r="BS10" t="s">
        <v>130</v>
      </c>
      <c r="BT10">
        <v>1</v>
      </c>
      <c r="BV10" t="s">
        <v>131</v>
      </c>
      <c r="BW10">
        <v>1</v>
      </c>
      <c r="BY10" t="s">
        <v>132</v>
      </c>
      <c r="BZ10">
        <v>1</v>
      </c>
      <c r="CB10" s="1" t="s">
        <v>133</v>
      </c>
      <c r="CC10">
        <v>0</v>
      </c>
      <c r="CE10" t="s">
        <v>134</v>
      </c>
      <c r="CF10">
        <v>1</v>
      </c>
      <c r="CH10" t="s">
        <v>135</v>
      </c>
      <c r="CI10">
        <v>0</v>
      </c>
      <c r="CK10" t="s">
        <v>136</v>
      </c>
      <c r="CL10">
        <v>1</v>
      </c>
      <c r="CN10" t="s">
        <v>137</v>
      </c>
      <c r="CO10">
        <v>1</v>
      </c>
      <c r="CQ10" s="1" t="s">
        <v>133</v>
      </c>
      <c r="CR10">
        <v>0</v>
      </c>
      <c r="CT10" t="s">
        <v>138</v>
      </c>
      <c r="CU10">
        <v>0</v>
      </c>
      <c r="CW10" t="s">
        <v>139</v>
      </c>
      <c r="CX10">
        <v>1</v>
      </c>
      <c r="CZ10" t="s">
        <v>140</v>
      </c>
      <c r="DA10">
        <v>0</v>
      </c>
      <c r="DC10" t="s">
        <v>141</v>
      </c>
      <c r="DD10">
        <v>1</v>
      </c>
    </row>
    <row r="11" spans="1:109" ht="18.75" customHeight="1" x14ac:dyDescent="0.25">
      <c r="A11">
        <v>12</v>
      </c>
      <c r="B11" s="3">
        <v>46247.397685185198</v>
      </c>
      <c r="C11" s="3">
        <v>46247.413043981498</v>
      </c>
      <c r="D11" s="2" t="s">
        <v>197</v>
      </c>
      <c r="E11">
        <v>14</v>
      </c>
      <c r="F11" s="2"/>
      <c r="G11" s="3"/>
      <c r="H11" s="2" t="s">
        <v>110</v>
      </c>
      <c r="I11">
        <v>1</v>
      </c>
      <c r="J11" s="2"/>
      <c r="K11" s="4" t="s">
        <v>111</v>
      </c>
      <c r="L11">
        <v>0</v>
      </c>
      <c r="M11" s="2"/>
      <c r="N11" s="2" t="s">
        <v>170</v>
      </c>
      <c r="O11">
        <v>0</v>
      </c>
      <c r="P11" s="2"/>
      <c r="Q11" s="2" t="s">
        <v>163</v>
      </c>
      <c r="R11">
        <v>1</v>
      </c>
      <c r="S11" s="2"/>
      <c r="T11" s="2" t="s">
        <v>114</v>
      </c>
      <c r="U11">
        <v>0</v>
      </c>
      <c r="V11" s="2"/>
      <c r="W11" s="4" t="s">
        <v>115</v>
      </c>
      <c r="X11">
        <v>0</v>
      </c>
      <c r="Y11" s="2"/>
      <c r="Z11" s="2" t="s">
        <v>180</v>
      </c>
      <c r="AA11">
        <v>0</v>
      </c>
      <c r="AB11" s="2"/>
      <c r="AC11" s="2" t="s">
        <v>117</v>
      </c>
      <c r="AD11">
        <v>1</v>
      </c>
      <c r="AE11" s="2"/>
      <c r="AF11" s="2" t="s">
        <v>171</v>
      </c>
      <c r="AG11">
        <v>0</v>
      </c>
      <c r="AH11" s="2"/>
      <c r="AI11" s="2" t="s">
        <v>119</v>
      </c>
      <c r="AJ11">
        <v>1</v>
      </c>
      <c r="AK11" s="2"/>
      <c r="AL11" s="2" t="s">
        <v>120</v>
      </c>
      <c r="AM11">
        <v>1</v>
      </c>
      <c r="AN11" s="2"/>
      <c r="AO11" s="2" t="s">
        <v>121</v>
      </c>
      <c r="AP11">
        <v>1</v>
      </c>
      <c r="AQ11" s="2"/>
      <c r="AR11" s="2" t="s">
        <v>173</v>
      </c>
      <c r="AS11">
        <v>0</v>
      </c>
      <c r="AT11" s="2"/>
      <c r="AU11" s="2" t="s">
        <v>198</v>
      </c>
      <c r="AV11">
        <v>0</v>
      </c>
      <c r="AW11" s="2"/>
      <c r="AX11" s="2" t="s">
        <v>124</v>
      </c>
      <c r="AY11">
        <v>1</v>
      </c>
      <c r="AZ11" s="2"/>
      <c r="BA11" s="2" t="s">
        <v>125</v>
      </c>
      <c r="BB11">
        <v>1</v>
      </c>
      <c r="BC11" s="2"/>
      <c r="BD11" s="2" t="s">
        <v>126</v>
      </c>
      <c r="BE11">
        <v>0</v>
      </c>
      <c r="BF11" s="2"/>
      <c r="BG11" s="2" t="s">
        <v>151</v>
      </c>
      <c r="BH11">
        <v>0</v>
      </c>
      <c r="BI11" s="2"/>
      <c r="BJ11" s="2" t="s">
        <v>128</v>
      </c>
      <c r="BK11">
        <v>1</v>
      </c>
      <c r="BL11" s="2"/>
      <c r="BM11" s="2" t="s">
        <v>152</v>
      </c>
      <c r="BN11">
        <v>0</v>
      </c>
      <c r="BO11" s="2"/>
      <c r="BP11" s="2" t="s">
        <v>129</v>
      </c>
      <c r="BQ11">
        <v>1</v>
      </c>
      <c r="BR11" s="2"/>
      <c r="BS11" s="2" t="s">
        <v>153</v>
      </c>
      <c r="BT11">
        <v>0</v>
      </c>
      <c r="BU11" s="2"/>
      <c r="BV11" s="2" t="s">
        <v>131</v>
      </c>
      <c r="BW11">
        <v>1</v>
      </c>
      <c r="BX11" s="2"/>
      <c r="BY11" s="2" t="s">
        <v>132</v>
      </c>
      <c r="BZ11">
        <v>1</v>
      </c>
      <c r="CA11" s="2"/>
      <c r="CB11" s="4" t="s">
        <v>154</v>
      </c>
      <c r="CC11">
        <v>0</v>
      </c>
      <c r="CD11" s="2"/>
      <c r="CE11" s="2" t="s">
        <v>130</v>
      </c>
      <c r="CF11">
        <v>0</v>
      </c>
      <c r="CG11" s="2"/>
      <c r="CH11" s="5" t="s">
        <v>135</v>
      </c>
      <c r="CI11">
        <v>0</v>
      </c>
      <c r="CJ11" s="2"/>
      <c r="CK11" s="2" t="s">
        <v>156</v>
      </c>
      <c r="CL11">
        <v>0</v>
      </c>
      <c r="CM11" s="2"/>
      <c r="CN11" s="2" t="s">
        <v>184</v>
      </c>
      <c r="CO11">
        <v>0</v>
      </c>
      <c r="CP11" s="2"/>
      <c r="CQ11" s="4" t="s">
        <v>133</v>
      </c>
      <c r="CR11">
        <v>0</v>
      </c>
      <c r="CS11" s="2"/>
      <c r="CT11" s="2" t="s">
        <v>138</v>
      </c>
      <c r="CU11">
        <v>0</v>
      </c>
      <c r="CV11" s="2"/>
      <c r="CW11" s="2" t="s">
        <v>139</v>
      </c>
      <c r="CX11">
        <v>1</v>
      </c>
      <c r="CY11" s="2"/>
      <c r="CZ11" s="2" t="s">
        <v>166</v>
      </c>
      <c r="DA11">
        <v>1</v>
      </c>
      <c r="DB11" s="2"/>
      <c r="DC11" s="2" t="s">
        <v>199</v>
      </c>
      <c r="DD11">
        <v>0</v>
      </c>
      <c r="DE11" s="2"/>
    </row>
    <row r="12" spans="1:109" ht="22.5" customHeight="1" x14ac:dyDescent="0.25">
      <c r="A12">
        <v>5</v>
      </c>
      <c r="B12" s="3">
        <v>46247.398564814815</v>
      </c>
      <c r="C12" s="3">
        <v>46247.40892361111</v>
      </c>
      <c r="D12" t="s">
        <v>175</v>
      </c>
      <c r="E12">
        <v>18</v>
      </c>
      <c r="G12" s="3"/>
      <c r="H12" s="1" t="s">
        <v>168</v>
      </c>
      <c r="I12">
        <v>0</v>
      </c>
      <c r="K12" s="1" t="s">
        <v>161</v>
      </c>
      <c r="L12">
        <v>0</v>
      </c>
      <c r="N12" t="s">
        <v>170</v>
      </c>
      <c r="O12">
        <v>0</v>
      </c>
      <c r="Q12" t="s">
        <v>163</v>
      </c>
      <c r="R12">
        <v>1</v>
      </c>
      <c r="T12" t="s">
        <v>114</v>
      </c>
      <c r="U12">
        <v>0</v>
      </c>
      <c r="W12" s="1" t="s">
        <v>146</v>
      </c>
      <c r="X12">
        <v>1</v>
      </c>
      <c r="Z12" t="s">
        <v>116</v>
      </c>
      <c r="AA12">
        <v>1</v>
      </c>
      <c r="AC12" t="s">
        <v>117</v>
      </c>
      <c r="AD12">
        <v>1</v>
      </c>
      <c r="AF12" t="s">
        <v>171</v>
      </c>
      <c r="AG12">
        <v>0</v>
      </c>
      <c r="AI12" t="s">
        <v>119</v>
      </c>
      <c r="AJ12">
        <v>1</v>
      </c>
      <c r="AL12" t="s">
        <v>176</v>
      </c>
      <c r="AM12">
        <v>0</v>
      </c>
      <c r="AO12" t="s">
        <v>177</v>
      </c>
      <c r="AP12">
        <v>0</v>
      </c>
      <c r="AR12" t="s">
        <v>173</v>
      </c>
      <c r="AS12">
        <v>0</v>
      </c>
      <c r="AU12" t="s">
        <v>174</v>
      </c>
      <c r="AV12">
        <v>0</v>
      </c>
      <c r="AX12" t="s">
        <v>124</v>
      </c>
      <c r="AY12">
        <v>1</v>
      </c>
      <c r="BA12" t="s">
        <v>125</v>
      </c>
      <c r="BB12">
        <v>1</v>
      </c>
      <c r="BD12" t="s">
        <v>164</v>
      </c>
      <c r="BE12">
        <v>1</v>
      </c>
      <c r="BG12" t="s">
        <v>151</v>
      </c>
      <c r="BH12">
        <v>0</v>
      </c>
      <c r="BJ12" t="s">
        <v>128</v>
      </c>
      <c r="BK12">
        <v>1</v>
      </c>
      <c r="BM12" t="s">
        <v>178</v>
      </c>
      <c r="BN12">
        <v>0</v>
      </c>
      <c r="BP12" t="s">
        <v>129</v>
      </c>
      <c r="BQ12">
        <v>1</v>
      </c>
      <c r="BS12" t="s">
        <v>130</v>
      </c>
      <c r="BT12">
        <v>1</v>
      </c>
      <c r="BV12" t="s">
        <v>131</v>
      </c>
      <c r="BW12">
        <v>1</v>
      </c>
      <c r="BY12" t="s">
        <v>132</v>
      </c>
      <c r="BZ12">
        <v>1</v>
      </c>
      <c r="CB12" s="1" t="s">
        <v>165</v>
      </c>
      <c r="CC12">
        <v>1</v>
      </c>
      <c r="CE12" t="s">
        <v>130</v>
      </c>
      <c r="CF12">
        <v>0</v>
      </c>
      <c r="CH12" t="s">
        <v>155</v>
      </c>
      <c r="CI12">
        <v>1</v>
      </c>
      <c r="CK12" t="s">
        <v>136</v>
      </c>
      <c r="CL12">
        <v>1</v>
      </c>
      <c r="CN12" t="s">
        <v>137</v>
      </c>
      <c r="CO12">
        <v>1</v>
      </c>
      <c r="CQ12" s="1" t="s">
        <v>133</v>
      </c>
      <c r="CR12">
        <v>0</v>
      </c>
      <c r="CT12" t="s">
        <v>138</v>
      </c>
      <c r="CU12">
        <v>0</v>
      </c>
      <c r="CW12" t="s">
        <v>138</v>
      </c>
      <c r="CX12">
        <v>0</v>
      </c>
      <c r="CZ12" t="s">
        <v>140</v>
      </c>
      <c r="DA12">
        <v>0</v>
      </c>
      <c r="DC12" t="s">
        <v>141</v>
      </c>
      <c r="DD12">
        <v>1</v>
      </c>
    </row>
    <row r="13" spans="1:109" ht="20.25" customHeight="1" x14ac:dyDescent="0.25">
      <c r="A13">
        <v>3</v>
      </c>
      <c r="B13" s="3">
        <v>46247.397997685184</v>
      </c>
      <c r="C13" s="3">
        <v>46247.408553240741</v>
      </c>
      <c r="D13" t="s">
        <v>160</v>
      </c>
      <c r="E13">
        <v>31</v>
      </c>
      <c r="G13" s="3"/>
      <c r="H13" t="s">
        <v>110</v>
      </c>
      <c r="I13">
        <v>1</v>
      </c>
      <c r="K13" s="1" t="s">
        <v>161</v>
      </c>
      <c r="L13">
        <v>0</v>
      </c>
      <c r="N13" t="s">
        <v>162</v>
      </c>
      <c r="O13">
        <v>1</v>
      </c>
      <c r="Q13" t="s">
        <v>163</v>
      </c>
      <c r="R13">
        <v>1</v>
      </c>
      <c r="T13" t="s">
        <v>145</v>
      </c>
      <c r="U13">
        <v>1</v>
      </c>
      <c r="W13" s="1" t="s">
        <v>146</v>
      </c>
      <c r="X13">
        <v>1</v>
      </c>
      <c r="Z13" t="s">
        <v>116</v>
      </c>
      <c r="AA13">
        <v>1</v>
      </c>
      <c r="AC13" t="s">
        <v>117</v>
      </c>
      <c r="AD13">
        <v>1</v>
      </c>
      <c r="AF13" t="s">
        <v>118</v>
      </c>
      <c r="AG13">
        <v>1</v>
      </c>
      <c r="AI13" t="s">
        <v>119</v>
      </c>
      <c r="AJ13">
        <v>1</v>
      </c>
      <c r="AL13" t="s">
        <v>120</v>
      </c>
      <c r="AM13">
        <v>1</v>
      </c>
      <c r="AO13" t="s">
        <v>121</v>
      </c>
      <c r="AP13">
        <v>1</v>
      </c>
      <c r="AR13" t="s">
        <v>122</v>
      </c>
      <c r="AS13">
        <v>1</v>
      </c>
      <c r="AU13" t="s">
        <v>123</v>
      </c>
      <c r="AV13">
        <v>1</v>
      </c>
      <c r="AX13" t="s">
        <v>124</v>
      </c>
      <c r="AY13">
        <v>1</v>
      </c>
      <c r="BA13" t="s">
        <v>125</v>
      </c>
      <c r="BB13">
        <v>1</v>
      </c>
      <c r="BD13" t="s">
        <v>164</v>
      </c>
      <c r="BE13">
        <v>1</v>
      </c>
      <c r="BG13" t="s">
        <v>127</v>
      </c>
      <c r="BH13">
        <v>1</v>
      </c>
      <c r="BJ13" t="s">
        <v>128</v>
      </c>
      <c r="BK13">
        <v>1</v>
      </c>
      <c r="BM13" t="s">
        <v>125</v>
      </c>
      <c r="BN13">
        <v>1</v>
      </c>
      <c r="BP13" t="s">
        <v>129</v>
      </c>
      <c r="BQ13">
        <v>1</v>
      </c>
      <c r="BS13" t="s">
        <v>130</v>
      </c>
      <c r="BT13">
        <v>1</v>
      </c>
      <c r="BV13" t="s">
        <v>131</v>
      </c>
      <c r="BW13">
        <v>1</v>
      </c>
      <c r="BY13" t="s">
        <v>132</v>
      </c>
      <c r="BZ13">
        <v>1</v>
      </c>
      <c r="CB13" s="1" t="s">
        <v>165</v>
      </c>
      <c r="CC13">
        <v>1</v>
      </c>
      <c r="CE13" t="s">
        <v>134</v>
      </c>
      <c r="CF13">
        <v>1</v>
      </c>
      <c r="CH13" t="s">
        <v>135</v>
      </c>
      <c r="CI13">
        <v>0</v>
      </c>
      <c r="CK13" t="s">
        <v>136</v>
      </c>
      <c r="CL13">
        <v>1</v>
      </c>
      <c r="CN13" t="s">
        <v>137</v>
      </c>
      <c r="CO13">
        <v>1</v>
      </c>
      <c r="CQ13" s="1" t="s">
        <v>133</v>
      </c>
      <c r="CR13">
        <v>0</v>
      </c>
      <c r="CT13" t="s">
        <v>124</v>
      </c>
      <c r="CU13">
        <v>1</v>
      </c>
      <c r="CW13" t="s">
        <v>139</v>
      </c>
      <c r="CX13">
        <v>1</v>
      </c>
      <c r="CZ13" t="s">
        <v>166</v>
      </c>
      <c r="DA13">
        <v>1</v>
      </c>
      <c r="DC13" t="s">
        <v>141</v>
      </c>
      <c r="DD13">
        <v>1</v>
      </c>
    </row>
    <row r="14" spans="1:109" ht="17.25" customHeight="1" x14ac:dyDescent="0.25">
      <c r="A14">
        <v>13</v>
      </c>
      <c r="B14" s="3">
        <v>46247.398761574099</v>
      </c>
      <c r="C14" s="3">
        <v>46247.413136574098</v>
      </c>
      <c r="D14" s="2" t="s">
        <v>200</v>
      </c>
      <c r="E14">
        <v>21</v>
      </c>
      <c r="F14" s="2"/>
      <c r="G14" s="3"/>
      <c r="H14" s="2" t="s">
        <v>110</v>
      </c>
      <c r="I14">
        <v>1</v>
      </c>
      <c r="J14" s="2"/>
      <c r="K14" s="4" t="s">
        <v>161</v>
      </c>
      <c r="L14">
        <v>0</v>
      </c>
      <c r="M14" s="2"/>
      <c r="N14" s="2" t="s">
        <v>112</v>
      </c>
      <c r="O14">
        <v>0</v>
      </c>
      <c r="P14" s="2"/>
      <c r="Q14" s="2" t="s">
        <v>144</v>
      </c>
      <c r="R14">
        <v>0</v>
      </c>
      <c r="S14" s="2"/>
      <c r="T14" s="2" t="s">
        <v>145</v>
      </c>
      <c r="U14">
        <v>1</v>
      </c>
      <c r="V14" s="2"/>
      <c r="W14" s="4" t="s">
        <v>146</v>
      </c>
      <c r="X14">
        <v>1</v>
      </c>
      <c r="Y14" s="2"/>
      <c r="Z14" s="2" t="s">
        <v>116</v>
      </c>
      <c r="AA14">
        <v>1</v>
      </c>
      <c r="AB14" s="2"/>
      <c r="AC14" s="2" t="s">
        <v>117</v>
      </c>
      <c r="AD14">
        <v>1</v>
      </c>
      <c r="AE14" s="2"/>
      <c r="AF14" s="2" t="s">
        <v>118</v>
      </c>
      <c r="AG14">
        <v>1</v>
      </c>
      <c r="AH14" s="2"/>
      <c r="AI14" s="2" t="s">
        <v>201</v>
      </c>
      <c r="AJ14">
        <v>0</v>
      </c>
      <c r="AK14" s="2"/>
      <c r="AL14" s="2" t="s">
        <v>120</v>
      </c>
      <c r="AM14">
        <v>1</v>
      </c>
      <c r="AN14" s="2"/>
      <c r="AO14" s="2" t="s">
        <v>121</v>
      </c>
      <c r="AP14">
        <v>1</v>
      </c>
      <c r="AQ14" s="2"/>
      <c r="AR14" s="2" t="s">
        <v>122</v>
      </c>
      <c r="AS14">
        <v>1</v>
      </c>
      <c r="AT14" s="2"/>
      <c r="AU14" s="2" t="s">
        <v>123</v>
      </c>
      <c r="AV14">
        <v>1</v>
      </c>
      <c r="AW14" s="2"/>
      <c r="AX14" s="2" t="s">
        <v>124</v>
      </c>
      <c r="AY14">
        <v>1</v>
      </c>
      <c r="AZ14" s="2"/>
      <c r="BA14" s="2" t="s">
        <v>202</v>
      </c>
      <c r="BB14">
        <v>0</v>
      </c>
      <c r="BC14" s="2"/>
      <c r="BD14" s="2" t="s">
        <v>164</v>
      </c>
      <c r="BE14">
        <v>1</v>
      </c>
      <c r="BF14" s="2"/>
      <c r="BG14" s="2" t="s">
        <v>151</v>
      </c>
      <c r="BH14">
        <v>0</v>
      </c>
      <c r="BI14" s="2"/>
      <c r="BJ14" s="2" t="s">
        <v>128</v>
      </c>
      <c r="BK14">
        <v>1</v>
      </c>
      <c r="BL14" s="2"/>
      <c r="BM14" s="2" t="s">
        <v>125</v>
      </c>
      <c r="BN14">
        <v>1</v>
      </c>
      <c r="BO14" s="2"/>
      <c r="BP14" s="2" t="s">
        <v>187</v>
      </c>
      <c r="BQ14">
        <v>0</v>
      </c>
      <c r="BR14" s="2"/>
      <c r="BS14" s="2" t="s">
        <v>130</v>
      </c>
      <c r="BT14">
        <v>1</v>
      </c>
      <c r="BU14" s="2"/>
      <c r="BV14" s="2" t="s">
        <v>131</v>
      </c>
      <c r="BW14">
        <v>1</v>
      </c>
      <c r="BX14" s="2"/>
      <c r="BY14" s="2" t="s">
        <v>132</v>
      </c>
      <c r="BZ14">
        <v>1</v>
      </c>
      <c r="CA14" s="2"/>
      <c r="CB14" s="4" t="s">
        <v>165</v>
      </c>
      <c r="CC14">
        <v>1</v>
      </c>
      <c r="CD14" s="2"/>
      <c r="CE14" s="2" t="s">
        <v>130</v>
      </c>
      <c r="CF14">
        <v>0</v>
      </c>
      <c r="CG14" s="2"/>
      <c r="CH14" s="5" t="s">
        <v>155</v>
      </c>
      <c r="CI14">
        <v>1</v>
      </c>
      <c r="CJ14" s="2"/>
      <c r="CK14" s="2" t="s">
        <v>183</v>
      </c>
      <c r="CL14">
        <v>0</v>
      </c>
      <c r="CM14" s="2"/>
      <c r="CN14" s="2" t="s">
        <v>137</v>
      </c>
      <c r="CO14">
        <v>1</v>
      </c>
      <c r="CP14" s="2"/>
      <c r="CQ14" s="4" t="s">
        <v>185</v>
      </c>
      <c r="CR14">
        <v>1</v>
      </c>
      <c r="CS14" s="2"/>
      <c r="CT14" s="2" t="s">
        <v>138</v>
      </c>
      <c r="CU14">
        <v>0</v>
      </c>
      <c r="CV14" s="2"/>
      <c r="CW14" s="2" t="s">
        <v>138</v>
      </c>
      <c r="CX14">
        <v>0</v>
      </c>
      <c r="CY14" s="2"/>
      <c r="CZ14" s="2" t="s">
        <v>140</v>
      </c>
      <c r="DA14">
        <v>0</v>
      </c>
      <c r="DB14" s="2"/>
      <c r="DC14" s="2" t="s">
        <v>159</v>
      </c>
      <c r="DD14">
        <v>0</v>
      </c>
      <c r="DE14" s="2"/>
    </row>
    <row r="15" spans="1:109" ht="18.75" customHeight="1" x14ac:dyDescent="0.25">
      <c r="A15">
        <v>19</v>
      </c>
      <c r="B15" s="3">
        <v>46247.398275462998</v>
      </c>
      <c r="C15" s="3">
        <v>46247.420486111099</v>
      </c>
      <c r="D15" s="2" t="s">
        <v>214</v>
      </c>
      <c r="E15">
        <v>22</v>
      </c>
      <c r="F15" s="2"/>
      <c r="G15" s="3"/>
      <c r="H15" s="2" t="s">
        <v>110</v>
      </c>
      <c r="I15">
        <v>1</v>
      </c>
      <c r="J15" s="2"/>
      <c r="K15" s="4" t="s">
        <v>111</v>
      </c>
      <c r="L15">
        <v>0</v>
      </c>
      <c r="M15" s="2"/>
      <c r="N15" s="2" t="s">
        <v>162</v>
      </c>
      <c r="O15">
        <v>1</v>
      </c>
      <c r="P15" s="2"/>
      <c r="Q15" s="2" t="s">
        <v>163</v>
      </c>
      <c r="R15">
        <v>1</v>
      </c>
      <c r="S15" s="2"/>
      <c r="T15" s="2" t="s">
        <v>145</v>
      </c>
      <c r="U15">
        <v>1</v>
      </c>
      <c r="V15" s="2"/>
      <c r="W15" s="4" t="s">
        <v>146</v>
      </c>
      <c r="X15">
        <v>1</v>
      </c>
      <c r="Y15" s="2"/>
      <c r="Z15" s="2" t="s">
        <v>116</v>
      </c>
      <c r="AA15">
        <v>1</v>
      </c>
      <c r="AB15" s="2"/>
      <c r="AC15" s="2" t="s">
        <v>117</v>
      </c>
      <c r="AD15">
        <v>1</v>
      </c>
      <c r="AE15" s="2"/>
      <c r="AF15" s="2" t="s">
        <v>171</v>
      </c>
      <c r="AG15">
        <v>0</v>
      </c>
      <c r="AH15" s="2"/>
      <c r="AI15" s="2" t="s">
        <v>172</v>
      </c>
      <c r="AJ15">
        <v>0</v>
      </c>
      <c r="AK15" s="2"/>
      <c r="AL15" s="2" t="s">
        <v>120</v>
      </c>
      <c r="AM15">
        <v>1</v>
      </c>
      <c r="AN15" s="2"/>
      <c r="AO15" s="2" t="s">
        <v>177</v>
      </c>
      <c r="AP15">
        <v>0</v>
      </c>
      <c r="AQ15" s="2"/>
      <c r="AR15" s="2" t="s">
        <v>122</v>
      </c>
      <c r="AS15">
        <v>1</v>
      </c>
      <c r="AT15" s="2"/>
      <c r="AU15" s="2" t="s">
        <v>174</v>
      </c>
      <c r="AV15">
        <v>0</v>
      </c>
      <c r="AW15" s="2"/>
      <c r="AX15" s="2" t="s">
        <v>124</v>
      </c>
      <c r="AY15">
        <v>1</v>
      </c>
      <c r="AZ15" s="2"/>
      <c r="BA15" s="2" t="s">
        <v>202</v>
      </c>
      <c r="BB15">
        <v>0</v>
      </c>
      <c r="BC15" s="2"/>
      <c r="BD15" s="2" t="s">
        <v>194</v>
      </c>
      <c r="BE15">
        <v>0</v>
      </c>
      <c r="BF15" s="2"/>
      <c r="BG15" s="2" t="s">
        <v>151</v>
      </c>
      <c r="BH15">
        <v>0</v>
      </c>
      <c r="BI15" s="2"/>
      <c r="BJ15" s="2" t="s">
        <v>128</v>
      </c>
      <c r="BK15">
        <v>1</v>
      </c>
      <c r="BL15" s="2"/>
      <c r="BM15" s="2" t="s">
        <v>125</v>
      </c>
      <c r="BN15">
        <v>1</v>
      </c>
      <c r="BO15" s="2"/>
      <c r="BP15" s="2" t="s">
        <v>129</v>
      </c>
      <c r="BQ15">
        <v>1</v>
      </c>
      <c r="BR15" s="2"/>
      <c r="BS15" s="2" t="s">
        <v>130</v>
      </c>
      <c r="BT15">
        <v>1</v>
      </c>
      <c r="BU15" s="2"/>
      <c r="BV15" s="2" t="s">
        <v>131</v>
      </c>
      <c r="BW15">
        <v>1</v>
      </c>
      <c r="BX15" s="2"/>
      <c r="BY15" s="2" t="s">
        <v>132</v>
      </c>
      <c r="BZ15">
        <v>1</v>
      </c>
      <c r="CA15" s="2"/>
      <c r="CB15" s="4" t="s">
        <v>165</v>
      </c>
      <c r="CC15">
        <v>1</v>
      </c>
      <c r="CD15" s="2"/>
      <c r="CE15" s="2" t="s">
        <v>134</v>
      </c>
      <c r="CF15">
        <v>1</v>
      </c>
      <c r="CG15" s="2"/>
      <c r="CH15" s="5" t="s">
        <v>135</v>
      </c>
      <c r="CI15">
        <v>0</v>
      </c>
      <c r="CJ15" s="2"/>
      <c r="CK15" s="2" t="s">
        <v>136</v>
      </c>
      <c r="CL15">
        <v>1</v>
      </c>
      <c r="CM15" s="2"/>
      <c r="CN15" s="2" t="s">
        <v>184</v>
      </c>
      <c r="CO15">
        <v>0</v>
      </c>
      <c r="CP15" s="2"/>
      <c r="CQ15" s="4" t="s">
        <v>158</v>
      </c>
      <c r="CR15">
        <v>0</v>
      </c>
      <c r="CS15" s="2"/>
      <c r="CT15" s="2" t="s">
        <v>124</v>
      </c>
      <c r="CU15">
        <v>1</v>
      </c>
      <c r="CV15" s="2"/>
      <c r="CW15" s="2" t="s">
        <v>139</v>
      </c>
      <c r="CX15">
        <v>1</v>
      </c>
      <c r="CY15" s="2"/>
      <c r="CZ15" s="2" t="s">
        <v>206</v>
      </c>
      <c r="DA15">
        <v>0</v>
      </c>
      <c r="DB15" s="2"/>
      <c r="DC15" s="2" t="s">
        <v>141</v>
      </c>
      <c r="DD15">
        <v>1</v>
      </c>
      <c r="DE15" s="2"/>
    </row>
    <row r="16" spans="1:109" ht="26.25" customHeight="1" x14ac:dyDescent="0.25">
      <c r="A16">
        <v>21</v>
      </c>
      <c r="B16" s="3">
        <v>46247.3984375</v>
      </c>
      <c r="C16" s="3">
        <v>46247.4288310185</v>
      </c>
      <c r="D16" s="2" t="s">
        <v>218</v>
      </c>
      <c r="E16">
        <v>18</v>
      </c>
      <c r="F16" s="2"/>
      <c r="G16" s="3"/>
      <c r="H16" s="2" t="s">
        <v>110</v>
      </c>
      <c r="I16">
        <v>1</v>
      </c>
      <c r="J16" s="2"/>
      <c r="K16" s="4" t="s">
        <v>143</v>
      </c>
      <c r="L16">
        <v>1</v>
      </c>
      <c r="M16" s="2"/>
      <c r="N16" s="2" t="s">
        <v>162</v>
      </c>
      <c r="O16">
        <v>1</v>
      </c>
      <c r="P16" s="2"/>
      <c r="Q16" s="2" t="s">
        <v>163</v>
      </c>
      <c r="R16">
        <v>1</v>
      </c>
      <c r="S16" s="2"/>
      <c r="T16" s="2" t="s">
        <v>219</v>
      </c>
      <c r="U16">
        <v>0</v>
      </c>
      <c r="V16" s="2"/>
      <c r="W16" s="4" t="s">
        <v>205</v>
      </c>
      <c r="X16">
        <v>0</v>
      </c>
      <c r="Y16" s="2"/>
      <c r="Z16" s="2" t="s">
        <v>116</v>
      </c>
      <c r="AA16">
        <v>1</v>
      </c>
      <c r="AB16" s="2"/>
      <c r="AC16" s="2" t="s">
        <v>117</v>
      </c>
      <c r="AD16">
        <v>1</v>
      </c>
      <c r="AE16" s="2"/>
      <c r="AF16" s="2" t="s">
        <v>118</v>
      </c>
      <c r="AG16">
        <v>1</v>
      </c>
      <c r="AH16" s="2"/>
      <c r="AI16" s="2" t="s">
        <v>119</v>
      </c>
      <c r="AJ16">
        <v>1</v>
      </c>
      <c r="AK16" s="2"/>
      <c r="AL16" s="2" t="s">
        <v>120</v>
      </c>
      <c r="AM16">
        <v>1</v>
      </c>
      <c r="AN16" s="2"/>
      <c r="AO16" s="2" t="s">
        <v>121</v>
      </c>
      <c r="AP16">
        <v>1</v>
      </c>
      <c r="AQ16" s="2"/>
      <c r="AR16" s="2"/>
      <c r="AS16">
        <v>0</v>
      </c>
      <c r="AT16" s="2"/>
      <c r="AU16" s="2" t="s">
        <v>220</v>
      </c>
      <c r="AV16">
        <v>0</v>
      </c>
      <c r="AW16" s="2"/>
      <c r="AX16" s="2" t="s">
        <v>192</v>
      </c>
      <c r="AY16">
        <v>0</v>
      </c>
      <c r="AZ16" s="2"/>
      <c r="BA16" s="2" t="s">
        <v>221</v>
      </c>
      <c r="BB16">
        <v>0</v>
      </c>
      <c r="BC16" s="2"/>
      <c r="BD16" s="2" t="s">
        <v>126</v>
      </c>
      <c r="BE16">
        <v>0</v>
      </c>
      <c r="BF16" s="2"/>
      <c r="BG16" s="2" t="s">
        <v>127</v>
      </c>
      <c r="BH16">
        <v>1</v>
      </c>
      <c r="BI16" s="2"/>
      <c r="BJ16" s="2" t="s">
        <v>128</v>
      </c>
      <c r="BK16">
        <v>1</v>
      </c>
      <c r="BL16" s="2"/>
      <c r="BM16" s="2" t="s">
        <v>125</v>
      </c>
      <c r="BN16">
        <v>1</v>
      </c>
      <c r="BO16" s="2"/>
      <c r="BP16" s="2" t="s">
        <v>129</v>
      </c>
      <c r="BQ16">
        <v>1</v>
      </c>
      <c r="BR16" s="2"/>
      <c r="BS16" s="2" t="s">
        <v>130</v>
      </c>
      <c r="BT16">
        <v>1</v>
      </c>
      <c r="BU16" s="2"/>
      <c r="BV16" s="2" t="s">
        <v>153</v>
      </c>
      <c r="BW16">
        <v>0</v>
      </c>
      <c r="BX16" s="2"/>
      <c r="BY16" s="2" t="s">
        <v>132</v>
      </c>
      <c r="BZ16">
        <v>1</v>
      </c>
      <c r="CA16" s="2"/>
      <c r="CB16" s="4" t="s">
        <v>165</v>
      </c>
      <c r="CC16">
        <v>1</v>
      </c>
      <c r="CD16" s="2"/>
      <c r="CE16" s="2" t="s">
        <v>130</v>
      </c>
      <c r="CF16">
        <v>0</v>
      </c>
      <c r="CG16" s="2"/>
      <c r="CH16" s="5" t="s">
        <v>155</v>
      </c>
      <c r="CI16">
        <v>1</v>
      </c>
      <c r="CJ16" s="2"/>
      <c r="CK16" s="2" t="s">
        <v>183</v>
      </c>
      <c r="CL16">
        <v>0</v>
      </c>
      <c r="CM16" s="2"/>
      <c r="CN16" s="2" t="s">
        <v>184</v>
      </c>
      <c r="CO16">
        <v>0</v>
      </c>
      <c r="CP16" s="2"/>
      <c r="CQ16" s="4" t="s">
        <v>133</v>
      </c>
      <c r="CR16">
        <v>0</v>
      </c>
      <c r="CS16" s="2"/>
      <c r="CT16" s="2" t="s">
        <v>129</v>
      </c>
      <c r="CU16">
        <v>0</v>
      </c>
      <c r="CV16" s="2"/>
      <c r="CW16" s="2" t="s">
        <v>188</v>
      </c>
      <c r="CX16">
        <v>0</v>
      </c>
      <c r="CY16" s="2"/>
      <c r="CZ16" s="2" t="s">
        <v>206</v>
      </c>
      <c r="DA16">
        <v>0</v>
      </c>
      <c r="DB16" s="2"/>
      <c r="DC16" s="2" t="s">
        <v>199</v>
      </c>
      <c r="DD16">
        <v>0</v>
      </c>
      <c r="DE16" s="2"/>
    </row>
    <row r="17" spans="1:109" ht="24" customHeight="1" x14ac:dyDescent="0.25">
      <c r="A17">
        <v>10</v>
      </c>
      <c r="B17" s="3">
        <v>46247.397673611114</v>
      </c>
      <c r="C17" s="3">
        <v>46247.412210648145</v>
      </c>
      <c r="D17" t="s">
        <v>193</v>
      </c>
      <c r="E17">
        <v>28</v>
      </c>
      <c r="G17" s="3"/>
      <c r="H17" t="s">
        <v>110</v>
      </c>
      <c r="I17">
        <v>1</v>
      </c>
      <c r="K17" s="1" t="s">
        <v>143</v>
      </c>
      <c r="L17">
        <v>1</v>
      </c>
      <c r="N17" t="s">
        <v>112</v>
      </c>
      <c r="O17">
        <v>0</v>
      </c>
      <c r="Q17" t="s">
        <v>163</v>
      </c>
      <c r="R17">
        <v>1</v>
      </c>
      <c r="T17" t="s">
        <v>145</v>
      </c>
      <c r="U17">
        <v>1</v>
      </c>
      <c r="W17" s="1" t="s">
        <v>146</v>
      </c>
      <c r="X17">
        <v>1</v>
      </c>
      <c r="Z17" t="s">
        <v>147</v>
      </c>
      <c r="AA17">
        <v>0</v>
      </c>
      <c r="AC17" t="s">
        <v>117</v>
      </c>
      <c r="AD17">
        <v>1</v>
      </c>
      <c r="AF17" t="s">
        <v>118</v>
      </c>
      <c r="AG17">
        <v>1</v>
      </c>
      <c r="AI17" t="s">
        <v>119</v>
      </c>
      <c r="AJ17">
        <v>1</v>
      </c>
      <c r="AL17" t="s">
        <v>120</v>
      </c>
      <c r="AM17">
        <v>1</v>
      </c>
      <c r="AO17" t="s">
        <v>121</v>
      </c>
      <c r="AP17">
        <v>1</v>
      </c>
      <c r="AR17" t="s">
        <v>122</v>
      </c>
      <c r="AS17">
        <v>1</v>
      </c>
      <c r="AU17" t="s">
        <v>123</v>
      </c>
      <c r="AV17">
        <v>1</v>
      </c>
      <c r="AX17" t="s">
        <v>124</v>
      </c>
      <c r="AY17">
        <v>1</v>
      </c>
      <c r="BA17" t="s">
        <v>125</v>
      </c>
      <c r="BB17">
        <v>1</v>
      </c>
      <c r="BD17" t="s">
        <v>164</v>
      </c>
      <c r="BE17">
        <v>1</v>
      </c>
      <c r="BG17" t="s">
        <v>151</v>
      </c>
      <c r="BH17">
        <v>0</v>
      </c>
      <c r="BJ17" t="s">
        <v>128</v>
      </c>
      <c r="BK17">
        <v>1</v>
      </c>
      <c r="BM17" t="s">
        <v>125</v>
      </c>
      <c r="BN17">
        <v>1</v>
      </c>
      <c r="BP17" t="s">
        <v>129</v>
      </c>
      <c r="BQ17">
        <v>1</v>
      </c>
      <c r="BS17" t="s">
        <v>130</v>
      </c>
      <c r="BT17">
        <v>1</v>
      </c>
      <c r="BV17" t="s">
        <v>131</v>
      </c>
      <c r="BW17">
        <v>1</v>
      </c>
      <c r="BY17" t="s">
        <v>132</v>
      </c>
      <c r="BZ17">
        <v>1</v>
      </c>
      <c r="CB17" s="1" t="s">
        <v>165</v>
      </c>
      <c r="CC17">
        <v>1</v>
      </c>
      <c r="CE17" t="s">
        <v>134</v>
      </c>
      <c r="CF17">
        <v>1</v>
      </c>
      <c r="CH17" t="s">
        <v>135</v>
      </c>
      <c r="CI17">
        <v>0</v>
      </c>
      <c r="CK17" t="s">
        <v>136</v>
      </c>
      <c r="CL17">
        <v>1</v>
      </c>
      <c r="CN17" t="s">
        <v>137</v>
      </c>
      <c r="CO17">
        <v>1</v>
      </c>
      <c r="CQ17" s="1" t="s">
        <v>133</v>
      </c>
      <c r="CR17">
        <v>0</v>
      </c>
      <c r="CT17" t="s">
        <v>124</v>
      </c>
      <c r="CU17">
        <v>1</v>
      </c>
      <c r="CW17" t="s">
        <v>138</v>
      </c>
      <c r="CX17">
        <v>0</v>
      </c>
      <c r="CZ17" t="s">
        <v>166</v>
      </c>
      <c r="DA17">
        <v>1</v>
      </c>
      <c r="DC17" t="s">
        <v>141</v>
      </c>
      <c r="DD17">
        <v>1</v>
      </c>
    </row>
    <row r="18" spans="1:109" ht="26.25" customHeight="1" x14ac:dyDescent="0.25">
      <c r="A18">
        <v>11</v>
      </c>
      <c r="B18" s="3">
        <v>46247.408622685201</v>
      </c>
      <c r="C18" s="3">
        <v>46247.412789351903</v>
      </c>
      <c r="D18" s="2" t="s">
        <v>142</v>
      </c>
      <c r="E18">
        <v>25</v>
      </c>
      <c r="F18" s="2"/>
      <c r="G18" s="3"/>
      <c r="H18" s="2" t="s">
        <v>110</v>
      </c>
      <c r="I18">
        <v>1</v>
      </c>
      <c r="J18" s="2"/>
      <c r="K18" s="4" t="s">
        <v>111</v>
      </c>
      <c r="L18">
        <v>0</v>
      </c>
      <c r="M18" s="2"/>
      <c r="N18" s="2" t="s">
        <v>162</v>
      </c>
      <c r="O18">
        <v>1</v>
      </c>
      <c r="P18" s="2"/>
      <c r="Q18" s="2" t="s">
        <v>163</v>
      </c>
      <c r="R18">
        <v>1</v>
      </c>
      <c r="S18" s="2"/>
      <c r="T18" s="2" t="s">
        <v>145</v>
      </c>
      <c r="U18">
        <v>1</v>
      </c>
      <c r="V18" s="2"/>
      <c r="W18" s="4" t="s">
        <v>146</v>
      </c>
      <c r="X18">
        <v>1</v>
      </c>
      <c r="Y18" s="2"/>
      <c r="Z18" s="2" t="s">
        <v>116</v>
      </c>
      <c r="AA18">
        <v>1</v>
      </c>
      <c r="AB18" s="2"/>
      <c r="AC18" s="2" t="s">
        <v>117</v>
      </c>
      <c r="AD18">
        <v>1</v>
      </c>
      <c r="AE18" s="2"/>
      <c r="AF18" s="2" t="s">
        <v>118</v>
      </c>
      <c r="AG18">
        <v>1</v>
      </c>
      <c r="AH18" s="2"/>
      <c r="AI18" s="2" t="s">
        <v>119</v>
      </c>
      <c r="AJ18">
        <v>1</v>
      </c>
      <c r="AK18" s="2"/>
      <c r="AL18" s="2" t="s">
        <v>120</v>
      </c>
      <c r="AM18">
        <v>1</v>
      </c>
      <c r="AN18" s="2"/>
      <c r="AO18" s="2" t="s">
        <v>149</v>
      </c>
      <c r="AP18">
        <v>0</v>
      </c>
      <c r="AQ18" s="2"/>
      <c r="AR18" s="2" t="s">
        <v>122</v>
      </c>
      <c r="AS18">
        <v>1</v>
      </c>
      <c r="AT18" s="2"/>
      <c r="AU18" s="2" t="s">
        <v>123</v>
      </c>
      <c r="AV18">
        <v>1</v>
      </c>
      <c r="AW18" s="2"/>
      <c r="AX18" s="2" t="s">
        <v>124</v>
      </c>
      <c r="AY18">
        <v>1</v>
      </c>
      <c r="AZ18" s="2"/>
      <c r="BA18" s="2" t="s">
        <v>125</v>
      </c>
      <c r="BB18">
        <v>1</v>
      </c>
      <c r="BC18" s="2"/>
      <c r="BD18" s="2" t="s">
        <v>194</v>
      </c>
      <c r="BE18">
        <v>0</v>
      </c>
      <c r="BF18" s="2"/>
      <c r="BG18" s="2" t="s">
        <v>127</v>
      </c>
      <c r="BH18">
        <v>1</v>
      </c>
      <c r="BI18" s="2"/>
      <c r="BJ18" s="2" t="s">
        <v>195</v>
      </c>
      <c r="BK18">
        <v>0</v>
      </c>
      <c r="BL18" s="2"/>
      <c r="BM18" s="2" t="s">
        <v>125</v>
      </c>
      <c r="BN18">
        <v>1</v>
      </c>
      <c r="BO18" s="2"/>
      <c r="BP18" s="2" t="s">
        <v>196</v>
      </c>
      <c r="BQ18">
        <v>0</v>
      </c>
      <c r="BR18" s="2"/>
      <c r="BS18" s="2" t="s">
        <v>131</v>
      </c>
      <c r="BT18">
        <v>0</v>
      </c>
      <c r="BU18" s="2"/>
      <c r="BV18" s="2" t="s">
        <v>153</v>
      </c>
      <c r="BW18">
        <v>0</v>
      </c>
      <c r="BX18" s="2"/>
      <c r="BY18" s="2" t="s">
        <v>132</v>
      </c>
      <c r="BZ18">
        <v>1</v>
      </c>
      <c r="CA18" s="2"/>
      <c r="CB18" s="4" t="s">
        <v>165</v>
      </c>
      <c r="CC18">
        <v>1</v>
      </c>
      <c r="CD18" s="2"/>
      <c r="CE18" s="2" t="s">
        <v>134</v>
      </c>
      <c r="CF18">
        <v>1</v>
      </c>
      <c r="CG18" s="2"/>
      <c r="CH18" s="5" t="s">
        <v>155</v>
      </c>
      <c r="CI18">
        <v>1</v>
      </c>
      <c r="CJ18" s="2"/>
      <c r="CK18" s="2" t="s">
        <v>136</v>
      </c>
      <c r="CL18">
        <v>1</v>
      </c>
      <c r="CM18" s="2"/>
      <c r="CN18" s="2" t="s">
        <v>137</v>
      </c>
      <c r="CO18">
        <v>1</v>
      </c>
      <c r="CP18" s="2"/>
      <c r="CQ18" s="4" t="s">
        <v>185</v>
      </c>
      <c r="CR18">
        <v>1</v>
      </c>
      <c r="CS18" s="2"/>
      <c r="CT18" s="2" t="s">
        <v>124</v>
      </c>
      <c r="CU18">
        <v>1</v>
      </c>
      <c r="CV18" s="2"/>
      <c r="CW18" s="2" t="s">
        <v>139</v>
      </c>
      <c r="CX18">
        <v>1</v>
      </c>
      <c r="CY18" s="2"/>
      <c r="CZ18" s="2" t="s">
        <v>140</v>
      </c>
      <c r="DA18">
        <v>0</v>
      </c>
      <c r="DB18" s="2"/>
      <c r="DC18" s="2" t="s">
        <v>159</v>
      </c>
      <c r="DD18">
        <v>0</v>
      </c>
      <c r="DE18" s="2"/>
    </row>
    <row r="19" spans="1:109" x14ac:dyDescent="0.25">
      <c r="A19" s="6"/>
      <c r="D19" s="2"/>
      <c r="E19" s="6"/>
      <c r="F19" s="2"/>
      <c r="H19" s="2"/>
      <c r="I19" s="6">
        <f>SUM(OfficeForms.Table[Points - What is 237/100 expressed as a mixed number and a decimal?])</f>
        <v>15</v>
      </c>
      <c r="J19" s="6">
        <f>SUM(OfficeForms.Table[Feedback - What is 237/100 expressed as a mixed number and a decimal?])</f>
        <v>0</v>
      </c>
      <c r="K19" s="6">
        <f>SUM(OfficeForms.Table[Which of the following represents 6 8/100 as a decimal?])</f>
        <v>0</v>
      </c>
      <c r="L19" s="6">
        <f>SUM(OfficeForms.Table[Points - Which of the following represents 6 8/100 as a decimal?])</f>
        <v>6</v>
      </c>
      <c r="M19" s="6">
        <f>SUM(OfficeForms.Table[Feedback - Which of the following represents 6 8/100 as a decimal?])</f>
        <v>0</v>
      </c>
      <c r="N19" s="6">
        <f>SUM(OfficeForms.Table[A hundred-square grid has 45 squares shaded. What percentage of the square grid is NOT shaded?])</f>
        <v>0</v>
      </c>
      <c r="O19" s="6">
        <f>SUM(OfficeForms.Table[Points - A hundred-square grid has 45 squares shaded. What percentage of the square grid is NOT shaded?])</f>
        <v>10</v>
      </c>
      <c r="P19" s="6">
        <f>SUM(OfficeForms.Table[Feedback - A hundred-square grid has 45 squares shaded. What percentage of the square grid is NOT shaded?])</f>
        <v>0</v>
      </c>
      <c r="Q19" s="6">
        <f>SUM(OfficeForms.Table[Which fraction, decimal, and percentage set are all equivalent?])</f>
        <v>0</v>
      </c>
      <c r="R19" s="6">
        <f>SUM(OfficeForms.Table[Points - Which fraction, decimal, and percentage set are all equivalent?])</f>
        <v>12</v>
      </c>
      <c r="S19" s="6">
        <f>SUM(OfficeForms.Table[Feedback - Which fraction, decimal, and percentage set are all equivalent?])</f>
        <v>0</v>
      </c>
      <c r="T19" s="6">
        <f>SUM(OfficeForms.Table[What is 1.05 expressed as a mixed number in fraction form over 100?])</f>
        <v>0</v>
      </c>
      <c r="U19" s="6">
        <f>SUM(OfficeForms.Table[Points - What is 1.05 expressed as a mixed number in fraction form over 100?])</f>
        <v>11</v>
      </c>
      <c r="V19" s="6">
        <f>SUM(OfficeForms.Table[Feedback - What is 1.05 expressed as a mixed number in fraction form over 100?])</f>
        <v>0</v>
      </c>
      <c r="W19" s="6">
        <f>SUM(OfficeForms.Table[If a phone screen displays 64% battery charge, what decimal of the total battery charge remains?])</f>
        <v>0</v>
      </c>
      <c r="X19" s="6">
        <f>SUM(OfficeForms.Table[Points - If a phone screen displays 64% battery charge, what decimal of the total battery charge remains?])</f>
        <v>11</v>
      </c>
      <c r="Y19" s="6">
        <f>SUM(OfficeForms.Table[Feedback - If a phone screen displays 64% battery charge, what decimal of the total battery charge remains?])</f>
        <v>0</v>
      </c>
      <c r="Z19" s="6">
        <f>SUM(OfficeForms.Table[Which mathematical operation shows how to convert 43/100 into a decimal on a calculator?])</f>
        <v>0</v>
      </c>
      <c r="AA19" s="6">
        <f>SUM(OfficeForms.Table[Points - Which mathematical operation shows how to convert 43/100 into a decimal on a calculator?])</f>
        <v>12</v>
      </c>
      <c r="AB19" s="6">
        <f>SUM(OfficeForms.Table[Feedback - Which mathematical operation shows how to convert 43/100 into a decimal on a calculator?])</f>
        <v>0</v>
      </c>
      <c r="AC19" s="6">
        <f>SUM(OfficeForms.Table[Which of the following is an improper fraction?])</f>
        <v>0</v>
      </c>
      <c r="AD19" s="6">
        <f>SUM(OfficeForms.Table[Points - Which of the following is an improper fraction?])</f>
        <v>15</v>
      </c>
      <c r="AE19" s="6">
        <f>SUM(OfficeForms.Table[Feedback - Which of the following is an improper fraction?])</f>
        <v>0</v>
      </c>
      <c r="AF19" s="6">
        <f>SUM(OfficeForms.Table[Convert 3 2/5 into an improper fraction.])</f>
        <v>0</v>
      </c>
      <c r="AG19" s="6">
        <f>SUM(OfficeForms.Table[Points - Convert 3 2/5 into an improper fraction.])</f>
        <v>13</v>
      </c>
      <c r="AH19" s="6">
        <f>SUM(OfficeForms.Table[Feedback - Convert 3 2/5 into an improper fraction.])</f>
        <v>0</v>
      </c>
      <c r="AI19" s="6">
        <f>SUM(OfficeForms.Table[Convert 14/3 into a mixed number.])</f>
        <v>0</v>
      </c>
      <c r="AJ19" s="6">
        <f>SUM(OfficeForms.Table[Points - Convert 14/3 into a mixed number.])</f>
        <v>13</v>
      </c>
      <c r="AK19" s="6">
        <f>SUM(OfficeForms.Table[Feedback - Convert 14/3 into a mixed number.])</f>
        <v>0</v>
      </c>
      <c r="AL19" s="6">
        <f>SUM(OfficeForms.Table[If pizzas are cut into quarters and you have 9 slices in total, how many whole pizzas and extra quarters do you have?])</f>
        <v>0</v>
      </c>
      <c r="AM19" s="6">
        <f>SUM(OfficeForms.Table[Points - If pizzas are cut into quarters and you have 9 slices in total, how many whole pizzas and extra quarters do you have?])</f>
        <v>16</v>
      </c>
      <c r="AN19" s="6">
        <f>SUM(OfficeForms.Table[Feedback - If pizzas are cut into quarters and you have 9 slices in total, how many whole pizzas and extra quarters do you have?])</f>
        <v>0</v>
      </c>
      <c r="AO19" s="6">
        <f>SUM(OfficeForms.Table[A baking recipe requires 2 3/4 cups of flour. How many quarter-cups of flour is this in total?])</f>
        <v>0</v>
      </c>
      <c r="AP19" s="6">
        <f>SUM(OfficeForms.Table[Points - A baking recipe requires 2 3/4 cups of flour. How many quarter-cups of flour is this in total?])</f>
        <v>11</v>
      </c>
      <c r="AQ19" s="6">
        <f>SUM(OfficeForms.Table[Feedback - A baking recipe requires 2 3/4 cups of flour. How many quarter-cups of flour is this in total?])</f>
        <v>0</v>
      </c>
      <c r="AR19" s="6">
        <f>SUM(OfficeForms.Table[Which mixed number is equal to 22/4?])</f>
        <v>0</v>
      </c>
      <c r="AS19" s="6">
        <f>SUM(OfficeForms.Table[Points - Which mixed number is equal to 22/4?])</f>
        <v>12</v>
      </c>
      <c r="AT19" s="6">
        <f>SUM(OfficeForms.Table[Feedback - Which mixed number is equal to 22/4?])</f>
        <v>0</v>
      </c>
      <c r="AU19" s="6">
        <f>SUM(OfficeForms.Table[A student says that 13/5 is equal to 2 3/5. Is this student correct or incorrect?])</f>
        <v>0</v>
      </c>
      <c r="AV19" s="6">
        <f>SUM(OfficeForms.Table[Points - A student says that 13/5 is equal to 2 3/5. Is this student correct or incorrect?])</f>
        <v>13</v>
      </c>
      <c r="AW19" s="6">
        <f>SUM(OfficeForms.Table[Feedback - A student says that 13/5 is equal to 2 3/5. Is this student correct or incorrect?])</f>
        <v>0</v>
      </c>
      <c r="AX19" s="6">
        <f>SUM(OfficeForms.Table[Calculate 3/8 + 2/8.])</f>
        <v>0</v>
      </c>
      <c r="AY19" s="6">
        <f>SUM(OfficeForms.Table[Points - Calculate 3/8 + 2/8.])</f>
        <v>13</v>
      </c>
      <c r="AZ19" s="6">
        <f>SUM(OfficeForms.Table[Feedback - Calculate 3/8 + 2/8.])</f>
        <v>0</v>
      </c>
      <c r="BA19" s="6">
        <f>SUM(OfficeForms.Table[Calculate 7/10 - 4/10.])</f>
        <v>0</v>
      </c>
      <c r="BB19" s="6">
        <f>SUM(OfficeForms.Table[Points - Calculate 7/10 - 4/10.])</f>
        <v>14</v>
      </c>
      <c r="BC19" s="6">
        <f>SUM(OfficeForms.Table[Feedback - Calculate 7/10 - 4/10.])</f>
        <v>0</v>
      </c>
      <c r="BD19" s="6">
        <f>SUM(OfficeForms.Table[What is the Golden Rule when adding or subtracting fractions with the same denominator?])</f>
        <v>0</v>
      </c>
      <c r="BE19" s="6">
        <f>SUM(OfficeForms.Table[Points - What is the Golden Rule when adding or subtracting fractions with the same denominator?])</f>
        <v>8</v>
      </c>
      <c r="BF19" s="6">
        <f>SUM(OfficeForms.Table[Feedback - What is the Golden Rule when adding or subtracting fractions with the same denominator?])</f>
        <v>0</v>
      </c>
      <c r="BG19" s="6">
        <f>SUM(OfficeForms.Table[Which inequality comparison statement is TRUE?])</f>
        <v>0</v>
      </c>
      <c r="BH19" s="6">
        <f>SUM(OfficeForms.Table[Points - Which inequality comparison statement is TRUE?])</f>
        <v>8</v>
      </c>
      <c r="BI19" s="6">
        <f>SUM(OfficeForms.Table[Feedback - Which inequality comparison statement is TRUE?])</f>
        <v>0</v>
      </c>
      <c r="BJ19" s="6">
        <f>SUM(OfficeForms.Table[Sharon ate 3/12 of a chocolate block and Franco ate 5/12 of the same block. What fraction did they eat combined?])</f>
        <v>0</v>
      </c>
      <c r="BK19" s="6">
        <f>SUM(OfficeForms.Table[Points - Sharon ate 3/12 of a chocolate block and Franco ate 5/12 of the same block. What fraction did they eat combined?])</f>
        <v>16</v>
      </c>
      <c r="BL19" s="6">
        <f>SUM(OfficeForms.Table[Feedback - Sharon ate 3/12 of a chocolate block and Franco ate 5/12 of the same block. What fraction did they eat combined?])</f>
        <v>0</v>
      </c>
      <c r="BM19" s="6">
        <f>SUM(OfficeForms.Table[Ron had 10/10 of a block of poster paper. He used 4/10 for a poster and 3/10 for a card. What fraction of the paper block remains?])</f>
        <v>0</v>
      </c>
      <c r="BN19" s="6">
        <f>SUM(OfficeForms.Table[Points - Ron had 10/10 of a block of poster paper. He used 4/10 for a poster and 3/10 for a card. What fraction of the paper block remains?])</f>
        <v>12</v>
      </c>
      <c r="BO19" s="6">
        <f>SUM(OfficeForms.Table[Feedback - Ron had 10/10 of a block of poster paper. He used 4/10 for a poster and 3/10 for a card. What fraction of the paper block remains?])</f>
        <v>0</v>
      </c>
      <c r="BP19" s="6">
        <f>SUM(OfficeForms.Table[Evaluate the expression: 9/12 - 2/12 - 3/12.])</f>
        <v>0</v>
      </c>
      <c r="BQ19" s="6">
        <f>SUM(OfficeForms.Table[Points - Evaluate the expression: 9/12 - 2/12 - 3/12.])</f>
        <v>15</v>
      </c>
      <c r="BR19" s="6">
        <f>SUM(OfficeForms.Table[Feedback - Evaluate the expression: 9/12 - 2/12 - 3/12.])</f>
        <v>0</v>
      </c>
      <c r="BS19" s="6">
        <f>SUM(OfficeForms.Table[A rectangular strip is split into 3 vertical columns with 2 columns shaded (2/3). If a horizontal cut doubles the number of rows to 2, what fraction of the grid is now shaded?])</f>
        <v>0</v>
      </c>
      <c r="BT19" s="6">
        <f>SUM(OfficeForms.Table[Points - A rectangular strip is split into 3 vertical columns with 2 columns shaded (2/3). If a horizontal cut doubles the number of rows to 2, what fraction of the grid is now shaded?])</f>
        <v>13</v>
      </c>
      <c r="BU19" s="6">
        <f>SUM(OfficeForms.Table[Feedback - A rectangular strip is split into 3 vertical columns with 2 columns shaded (2/3). If a horizontal cut doubles the number of rows to 2, what fraction of the grid is now shaded?])</f>
        <v>0</v>
      </c>
      <c r="BV19" s="6">
        <f>SUM(OfficeForms.Table[On aligned equal-length number lines, which fraction aligns directly below 1/3?])</f>
        <v>0</v>
      </c>
      <c r="BW19" s="6">
        <f>SUM(OfficeForms.Table[Points - On aligned equal-length number lines, which fraction aligns directly below 1/3?])</f>
        <v>14</v>
      </c>
      <c r="BX19" s="6">
        <f>SUM(OfficeForms.Table[Feedback - On aligned equal-length number lines, which fraction aligns directly below 1/3?])</f>
        <v>0</v>
      </c>
      <c r="BY19" s="6">
        <f>SUM(OfficeForms.Table[According to the Multiplication Golden Rule, what multiplier must be used on both top and bottom to convert 3/5 into 9/15?])</f>
        <v>0</v>
      </c>
      <c r="BZ19" s="6">
        <f>SUM(OfficeForms.Table[Points - According to the Multiplication Golden Rule, what multiplier must be used on both top and bottom to convert 3/5 into 9/15?])</f>
        <v>17</v>
      </c>
      <c r="CA19" s="6">
        <f>SUM(OfficeForms.Table[Feedback - According to the Multiplication Golden Rule, what multiplier must be used on both top and bottom to convert 3/5 into 9/15?])</f>
        <v>0</v>
      </c>
      <c r="CB19" s="6">
        <f>SUM(OfficeForms.Table[Find the missing numerator in this equivalent fraction chain: 1/4 = 2/8 = ?/12 = 4/16.])</f>
        <v>0</v>
      </c>
      <c r="CC19" s="6">
        <f>SUM(OfficeForms.Table[Points - Find the missing numerator in this equivalent fraction chain: 1/4 = 2/8 = ?/12 = 4/16.])</f>
        <v>15</v>
      </c>
      <c r="CD19" s="6">
        <f>SUM(OfficeForms.Table[Feedback - Find the missing numerator in this equivalent fraction chain: 1/4 = 2/8 = ?/12 = 4/16.])</f>
        <v>0</v>
      </c>
      <c r="CE19" s="6">
        <f>SUM(OfficeForms.Table[Which fraction is equivalent to 8/12 when simplified by dividing the numerator and denominator by 4?])</f>
        <v>0</v>
      </c>
      <c r="CF19" s="6">
        <f>SUM(OfficeForms.Table[Points - Which fraction is equivalent to 8/12 when simplified by dividing the numerator and denominator by 4?])</f>
        <v>9</v>
      </c>
      <c r="CG19" s="6">
        <f>SUM(OfficeForms.Table[Feedback - Which fraction is equivalent to 8/12 when simplified by dividing the numerator and denominator by 4?])</f>
        <v>0</v>
      </c>
      <c r="CH19" s="6">
        <f>SUM(OfficeForms.Table[Sam claims that 1/3 is equivalent to 2/4 because he added 1 to both top and bottom. Why is Sam incorrect?])</f>
        <v>0</v>
      </c>
      <c r="CI19" s="6">
        <f>SUM(OfficeForms.Table[Points - Sam claims that 1/3 is equivalent to 2/4 because he added 1 to both top and bottom. Why is Sam incorrect?])</f>
        <v>12</v>
      </c>
      <c r="CJ19" s="6">
        <f>SUM(OfficeForms.Table[Feedback - Sam claims that 1/3 is equivalent to 2/4 because he added 1 to both top and bottom. Why is Sam incorrect?])</f>
        <v>0</v>
      </c>
      <c r="CK19" s="6">
        <f>SUM(OfficeForms.Table[Which list places the fractions in correct order from smallest to largest?])</f>
        <v>0</v>
      </c>
      <c r="CL19" s="6">
        <f>SUM(OfficeForms.Table[Points - Which list places the fractions in correct order from smallest to largest?])</f>
        <v>13</v>
      </c>
      <c r="CM19" s="6">
        <f>SUM(OfficeForms.Table[Feedback - Which list places the fractions in correct order from smallest to largest?])</f>
        <v>0</v>
      </c>
      <c r="CN19" s="6">
        <f>SUM(OfficeForms.Table[Calculate 4 - 1/5.])</f>
        <v>0</v>
      </c>
      <c r="CO19" s="6">
        <f>SUM(OfficeForms.Table[Points - Calculate 4 - 1/5.])</f>
        <v>13</v>
      </c>
      <c r="CP19" s="6">
        <f>SUM(OfficeForms.Table[Feedback - Calculate 4 - 1/5.])</f>
        <v>0</v>
      </c>
      <c r="CQ19" s="6">
        <f>SUM(OfficeForms.Table[What is 1 7/10 + 3/10?])</f>
        <v>0</v>
      </c>
      <c r="CR19" s="6">
        <f>SUM(OfficeForms.Table[Points - What is 1 7/10 + 3/10?])</f>
        <v>5</v>
      </c>
      <c r="CS19" s="6">
        <f>SUM(OfficeForms.Table[Feedback - What is 1 7/10 + 3/10?])</f>
        <v>0</v>
      </c>
      <c r="CT19" s="6">
        <f>SUM(OfficeForms.Table[Calculate 1/4 + 3/8 by first converting 1/4 into eighths.])</f>
        <v>0</v>
      </c>
      <c r="CU19" s="6">
        <f>SUM(OfficeForms.Table[Points - Calculate 1/4 + 3/8 by first converting 1/4 into eighths.])</f>
        <v>8</v>
      </c>
      <c r="CV19" s="6">
        <f>SUM(OfficeForms.Table[Feedback - Calculate 1/4 + 3/8 by first converting 1/4 into eighths.])</f>
        <v>0</v>
      </c>
      <c r="CW19" s="6">
        <f>SUM(OfficeForms.Table[Calculate 5/8 - 1/4 by converting 1/4 into eighths.])</f>
        <v>0</v>
      </c>
      <c r="CX19" s="6">
        <f>SUM(OfficeForms.Table[Points - Calculate 5/8 - 1/4 by converting 1/4 into eighths.])</f>
        <v>9</v>
      </c>
      <c r="CY19" s="6">
        <f>SUM(OfficeForms.Table[Feedback - Calculate 5/8 - 1/4 by converting 1/4 into eighths.])</f>
        <v>0</v>
      </c>
      <c r="CZ19" s="6">
        <f>SUM(OfficeForms.Table[Calculate 3/5 + 3/10 by converting 3/5 into tenths.])</f>
        <v>0</v>
      </c>
      <c r="DA19" s="6">
        <f>SUM(OfficeForms.Table[Points - Calculate 3/5 + 3/10 by converting 3/5 into tenths.])</f>
        <v>9</v>
      </c>
      <c r="DB19" s="6">
        <f>SUM(OfficeForms.Table[Feedback - Calculate 3/5 + 3/10 by converting 3/5 into tenths.])</f>
        <v>0</v>
      </c>
      <c r="DC19" s="6">
        <f>SUM(OfficeForms.Table[A container holds 2 litres of water. If children drink 3/4 of a litre during sports, how much water remains in the container?])</f>
        <v>0</v>
      </c>
      <c r="DD19" s="6">
        <f>SUM(OfficeForms.Table[Points - A container holds 2 litres of water. If children drink 3/4 of a litre during sports, how much water remains in the container?])</f>
        <v>13</v>
      </c>
      <c r="DE19" s="6">
        <f>SUM(OfficeForms.Table[Feedback - A container holds 2 litres of water. If children drink 3/4 of a litre during sports, how much water remains in the container?])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 Sutherland</dc:creator>
  <cp:keywords/>
  <dc:description/>
  <cp:lastModifiedBy>SUTHERLAND, Douglas (dsuth10)</cp:lastModifiedBy>
  <cp:revision/>
  <dcterms:created xsi:type="dcterms:W3CDTF">2026-08-12T23:54:20Z</dcterms:created>
  <dcterms:modified xsi:type="dcterms:W3CDTF">2026-08-13T10:55:32Z</dcterms:modified>
  <cp:category/>
  <cp:contentStatus/>
</cp:coreProperties>
</file>